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hidden" name="Chart1 Average Performance Scor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<sst xmlns="http://schemas.openxmlformats.org/spreadsheetml/2006/main" count="1325" uniqueCount="658">
  <si>
    <t>intern_id</t>
  </si>
  <si>
    <t>name</t>
  </si>
  <si>
    <t>department</t>
  </si>
  <si>
    <t>start_date</t>
  </si>
  <si>
    <t>end_date</t>
  </si>
  <si>
    <t>tasks_assigned</t>
  </si>
  <si>
    <t>tasks_completed</t>
  </si>
  <si>
    <t>avg_task_time</t>
  </si>
  <si>
    <t>attendance_rate</t>
  </si>
  <si>
    <t>performance_score</t>
  </si>
  <si>
    <t>feedback_score</t>
  </si>
  <si>
    <t>stipend</t>
  </si>
  <si>
    <t>projects_completed</t>
  </si>
  <si>
    <t>late_submissions</t>
  </si>
  <si>
    <t>learning_hours</t>
  </si>
  <si>
    <t>last_evaluation</t>
  </si>
  <si>
    <t>average_montly_hours</t>
  </si>
  <si>
    <t>intern_duration_inDays</t>
  </si>
  <si>
    <t>Completion_Rate</t>
  </si>
  <si>
    <t>Efficiency_Score</t>
  </si>
  <si>
    <t>INT-001</t>
  </si>
  <si>
    <t>Intern_1</t>
  </si>
  <si>
    <t>Data Science</t>
  </si>
  <si>
    <t>₹1,500.00</t>
  </si>
  <si>
    <t>INT-002</t>
  </si>
  <si>
    <t>Intern_2</t>
  </si>
  <si>
    <t>INT-003</t>
  </si>
  <si>
    <t>Intern_3</t>
  </si>
  <si>
    <t>Dev</t>
  </si>
  <si>
    <t>₹1,200.00</t>
  </si>
  <si>
    <t>INT-004</t>
  </si>
  <si>
    <t>Intern_4</t>
  </si>
  <si>
    <t>HR</t>
  </si>
  <si>
    <t>₹1,000.00</t>
  </si>
  <si>
    <t>INT-005</t>
  </si>
  <si>
    <t>Intern_5</t>
  </si>
  <si>
    <t>INT-006</t>
  </si>
  <si>
    <t>Intern_6</t>
  </si>
  <si>
    <t>INT-007</t>
  </si>
  <si>
    <t>Intern_7</t>
  </si>
  <si>
    <t>INT-008</t>
  </si>
  <si>
    <t>Intern_8</t>
  </si>
  <si>
    <t>INT-009</t>
  </si>
  <si>
    <t>Intern_9</t>
  </si>
  <si>
    <t>INT-010</t>
  </si>
  <si>
    <t>Intern_10</t>
  </si>
  <si>
    <t>INT-011</t>
  </si>
  <si>
    <t>Intern_11</t>
  </si>
  <si>
    <t>INT-012</t>
  </si>
  <si>
    <t>Intern_12</t>
  </si>
  <si>
    <t>INT-013</t>
  </si>
  <si>
    <t>Intern_13</t>
  </si>
  <si>
    <t>INT-014</t>
  </si>
  <si>
    <t>Intern_14</t>
  </si>
  <si>
    <t>INT-015</t>
  </si>
  <si>
    <t>Intern_15</t>
  </si>
  <si>
    <t>INT-016</t>
  </si>
  <si>
    <t>Intern_16</t>
  </si>
  <si>
    <t>INT-017</t>
  </si>
  <si>
    <t>Intern_17</t>
  </si>
  <si>
    <t>INT-018</t>
  </si>
  <si>
    <t>Intern_18</t>
  </si>
  <si>
    <t>INT-019</t>
  </si>
  <si>
    <t>Intern_19</t>
  </si>
  <si>
    <t>INT-020</t>
  </si>
  <si>
    <t>Intern_20</t>
  </si>
  <si>
    <t>INT-021</t>
  </si>
  <si>
    <t>Intern_21</t>
  </si>
  <si>
    <t>INT-022</t>
  </si>
  <si>
    <t>Intern_22</t>
  </si>
  <si>
    <t>INT-023</t>
  </si>
  <si>
    <t>Intern_23</t>
  </si>
  <si>
    <t>INT-024</t>
  </si>
  <si>
    <t>Intern_24</t>
  </si>
  <si>
    <t>INT-025</t>
  </si>
  <si>
    <t>Intern_25</t>
  </si>
  <si>
    <t>INT-026</t>
  </si>
  <si>
    <t>Intern_26</t>
  </si>
  <si>
    <t>INT-027</t>
  </si>
  <si>
    <t>Intern_27</t>
  </si>
  <si>
    <t>INT-028</t>
  </si>
  <si>
    <t>Intern_28</t>
  </si>
  <si>
    <t>INT-029</t>
  </si>
  <si>
    <t>Intern_29</t>
  </si>
  <si>
    <t>INT-030</t>
  </si>
  <si>
    <t>Intern_30</t>
  </si>
  <si>
    <t>INT-031</t>
  </si>
  <si>
    <t>Intern_31</t>
  </si>
  <si>
    <t>INT-032</t>
  </si>
  <si>
    <t>Intern_32</t>
  </si>
  <si>
    <t>INT-033</t>
  </si>
  <si>
    <t>Intern_33</t>
  </si>
  <si>
    <t>INT-034</t>
  </si>
  <si>
    <t>Intern_34</t>
  </si>
  <si>
    <t>INT-035</t>
  </si>
  <si>
    <t>Intern_35</t>
  </si>
  <si>
    <t>INT-036</t>
  </si>
  <si>
    <t>Intern_36</t>
  </si>
  <si>
    <t>INT-037</t>
  </si>
  <si>
    <t>Intern_37</t>
  </si>
  <si>
    <t>INT-038</t>
  </si>
  <si>
    <t>Intern_38</t>
  </si>
  <si>
    <t>INT-039</t>
  </si>
  <si>
    <t>Intern_39</t>
  </si>
  <si>
    <t>INT-040</t>
  </si>
  <si>
    <t>Intern_40</t>
  </si>
  <si>
    <t>INT-041</t>
  </si>
  <si>
    <t>Intern_41</t>
  </si>
  <si>
    <t>INT-042</t>
  </si>
  <si>
    <t>Intern_42</t>
  </si>
  <si>
    <t>INT-043</t>
  </si>
  <si>
    <t>Intern_43</t>
  </si>
  <si>
    <t>INT-044</t>
  </si>
  <si>
    <t>Intern_44</t>
  </si>
  <si>
    <t>INT-045</t>
  </si>
  <si>
    <t>Intern_45</t>
  </si>
  <si>
    <t>INT-046</t>
  </si>
  <si>
    <t>Intern_46</t>
  </si>
  <si>
    <t>INT-047</t>
  </si>
  <si>
    <t>Intern_47</t>
  </si>
  <si>
    <t>INT-048</t>
  </si>
  <si>
    <t>Intern_48</t>
  </si>
  <si>
    <t>INT-049</t>
  </si>
  <si>
    <t>Intern_49</t>
  </si>
  <si>
    <t>INT-050</t>
  </si>
  <si>
    <t>Intern_50</t>
  </si>
  <si>
    <t>INT-051</t>
  </si>
  <si>
    <t>Intern_51</t>
  </si>
  <si>
    <t>INT-052</t>
  </si>
  <si>
    <t>Intern_52</t>
  </si>
  <si>
    <t>INT-053</t>
  </si>
  <si>
    <t>Intern_53</t>
  </si>
  <si>
    <t>INT-054</t>
  </si>
  <si>
    <t>Intern_54</t>
  </si>
  <si>
    <t>INT-055</t>
  </si>
  <si>
    <t>Intern_55</t>
  </si>
  <si>
    <t>INT-056</t>
  </si>
  <si>
    <t>Intern_56</t>
  </si>
  <si>
    <t>INT-057</t>
  </si>
  <si>
    <t>Intern_57</t>
  </si>
  <si>
    <t>INT-058</t>
  </si>
  <si>
    <t>Intern_58</t>
  </si>
  <si>
    <t>INT-059</t>
  </si>
  <si>
    <t>Intern_59</t>
  </si>
  <si>
    <t>INT-060</t>
  </si>
  <si>
    <t>Intern_60</t>
  </si>
  <si>
    <t>INT-061</t>
  </si>
  <si>
    <t>Intern_61</t>
  </si>
  <si>
    <t>INT-062</t>
  </si>
  <si>
    <t>Intern_62</t>
  </si>
  <si>
    <t>INT-063</t>
  </si>
  <si>
    <t>Intern_63</t>
  </si>
  <si>
    <t>INT-064</t>
  </si>
  <si>
    <t>Intern_64</t>
  </si>
  <si>
    <t>INT-065</t>
  </si>
  <si>
    <t>Intern_65</t>
  </si>
  <si>
    <t>INT-066</t>
  </si>
  <si>
    <t>Intern_66</t>
  </si>
  <si>
    <t>INT-067</t>
  </si>
  <si>
    <t>Intern_67</t>
  </si>
  <si>
    <t>INT-068</t>
  </si>
  <si>
    <t>Intern_68</t>
  </si>
  <si>
    <t>INT-069</t>
  </si>
  <si>
    <t>Intern_69</t>
  </si>
  <si>
    <t>INT-070</t>
  </si>
  <si>
    <t>Intern_70</t>
  </si>
  <si>
    <t>INT-071</t>
  </si>
  <si>
    <t>Intern_71</t>
  </si>
  <si>
    <t>INT-072</t>
  </si>
  <si>
    <t>Intern_72</t>
  </si>
  <si>
    <t>INT-073</t>
  </si>
  <si>
    <t>Intern_73</t>
  </si>
  <si>
    <t>INT-074</t>
  </si>
  <si>
    <t>Intern_74</t>
  </si>
  <si>
    <t>INT-075</t>
  </si>
  <si>
    <t>Intern_75</t>
  </si>
  <si>
    <t>INT-076</t>
  </si>
  <si>
    <t>Intern_76</t>
  </si>
  <si>
    <t>INT-077</t>
  </si>
  <si>
    <t>Intern_77</t>
  </si>
  <si>
    <t>INT-078</t>
  </si>
  <si>
    <t>Intern_78</t>
  </si>
  <si>
    <t>INT-079</t>
  </si>
  <si>
    <t>Intern_79</t>
  </si>
  <si>
    <t>INT-080</t>
  </si>
  <si>
    <t>Intern_80</t>
  </si>
  <si>
    <t>INT-081</t>
  </si>
  <si>
    <t>Intern_81</t>
  </si>
  <si>
    <t>INT-082</t>
  </si>
  <si>
    <t>Intern_82</t>
  </si>
  <si>
    <t>INT-083</t>
  </si>
  <si>
    <t>Intern_83</t>
  </si>
  <si>
    <t>INT-084</t>
  </si>
  <si>
    <t>Intern_84</t>
  </si>
  <si>
    <t>INT-085</t>
  </si>
  <si>
    <t>Intern_85</t>
  </si>
  <si>
    <t>INT-086</t>
  </si>
  <si>
    <t>Intern_86</t>
  </si>
  <si>
    <t>INT-087</t>
  </si>
  <si>
    <t>Intern_87</t>
  </si>
  <si>
    <t>INT-088</t>
  </si>
  <si>
    <t>Intern_88</t>
  </si>
  <si>
    <t>INT-089</t>
  </si>
  <si>
    <t>Intern_89</t>
  </si>
  <si>
    <t>INT-090</t>
  </si>
  <si>
    <t>Intern_90</t>
  </si>
  <si>
    <t>INT-091</t>
  </si>
  <si>
    <t>Intern_91</t>
  </si>
  <si>
    <t>INT-092</t>
  </si>
  <si>
    <t>Intern_92</t>
  </si>
  <si>
    <t>INT-093</t>
  </si>
  <si>
    <t>Intern_93</t>
  </si>
  <si>
    <t>INT-094</t>
  </si>
  <si>
    <t>Intern_94</t>
  </si>
  <si>
    <t>INT-095</t>
  </si>
  <si>
    <t>Intern_95</t>
  </si>
  <si>
    <t>INT-096</t>
  </si>
  <si>
    <t>Intern_96</t>
  </si>
  <si>
    <t>INT-097</t>
  </si>
  <si>
    <t>Intern_97</t>
  </si>
  <si>
    <t>INT-098</t>
  </si>
  <si>
    <t>Intern_98</t>
  </si>
  <si>
    <t>INT-099</t>
  </si>
  <si>
    <t>Intern_99</t>
  </si>
  <si>
    <t>INT-100</t>
  </si>
  <si>
    <t>Intern_100</t>
  </si>
  <si>
    <t>INT-101</t>
  </si>
  <si>
    <t>Intern_101</t>
  </si>
  <si>
    <t>INT-102</t>
  </si>
  <si>
    <t>Intern_102</t>
  </si>
  <si>
    <t>INT-103</t>
  </si>
  <si>
    <t>Intern_103</t>
  </si>
  <si>
    <t>INT-104</t>
  </si>
  <si>
    <t>Intern_104</t>
  </si>
  <si>
    <t>INT-105</t>
  </si>
  <si>
    <t>Intern_105</t>
  </si>
  <si>
    <t>INT-106</t>
  </si>
  <si>
    <t>Intern_106</t>
  </si>
  <si>
    <t>INT-107</t>
  </si>
  <si>
    <t>Intern_107</t>
  </si>
  <si>
    <t>INT-108</t>
  </si>
  <si>
    <t>Intern_108</t>
  </si>
  <si>
    <t>INT-109</t>
  </si>
  <si>
    <t>Intern_109</t>
  </si>
  <si>
    <t>INT-110</t>
  </si>
  <si>
    <t>Intern_110</t>
  </si>
  <si>
    <t>INT-111</t>
  </si>
  <si>
    <t>Intern_111</t>
  </si>
  <si>
    <t>INT-112</t>
  </si>
  <si>
    <t>Intern_112</t>
  </si>
  <si>
    <t>INT-113</t>
  </si>
  <si>
    <t>Intern_113</t>
  </si>
  <si>
    <t>INT-114</t>
  </si>
  <si>
    <t>Intern_114</t>
  </si>
  <si>
    <t>INT-115</t>
  </si>
  <si>
    <t>Intern_115</t>
  </si>
  <si>
    <t>INT-116</t>
  </si>
  <si>
    <t>Intern_116</t>
  </si>
  <si>
    <t>INT-117</t>
  </si>
  <si>
    <t>Intern_117</t>
  </si>
  <si>
    <t>INT-118</t>
  </si>
  <si>
    <t>Intern_118</t>
  </si>
  <si>
    <t>INT-119</t>
  </si>
  <si>
    <t>Intern_119</t>
  </si>
  <si>
    <t>INT-120</t>
  </si>
  <si>
    <t>Intern_120</t>
  </si>
  <si>
    <t>INT-121</t>
  </si>
  <si>
    <t>Intern_121</t>
  </si>
  <si>
    <t>INT-122</t>
  </si>
  <si>
    <t>Intern_122</t>
  </si>
  <si>
    <t>INT-123</t>
  </si>
  <si>
    <t>Intern_123</t>
  </si>
  <si>
    <t>INT-124</t>
  </si>
  <si>
    <t>Intern_124</t>
  </si>
  <si>
    <t>INT-125</t>
  </si>
  <si>
    <t>Intern_125</t>
  </si>
  <si>
    <t>INT-126</t>
  </si>
  <si>
    <t>Intern_126</t>
  </si>
  <si>
    <t>INT-127</t>
  </si>
  <si>
    <t>Intern_127</t>
  </si>
  <si>
    <t>INT-128</t>
  </si>
  <si>
    <t>Intern_128</t>
  </si>
  <si>
    <t>INT-129</t>
  </si>
  <si>
    <t>Intern_129</t>
  </si>
  <si>
    <t>INT-130</t>
  </si>
  <si>
    <t>Intern_130</t>
  </si>
  <si>
    <t>INT-131</t>
  </si>
  <si>
    <t>Intern_131</t>
  </si>
  <si>
    <t>INT-132</t>
  </si>
  <si>
    <t>Intern_132</t>
  </si>
  <si>
    <t>INT-133</t>
  </si>
  <si>
    <t>Intern_133</t>
  </si>
  <si>
    <t>INT-134</t>
  </si>
  <si>
    <t>Intern_134</t>
  </si>
  <si>
    <t>INT-135</t>
  </si>
  <si>
    <t>Intern_135</t>
  </si>
  <si>
    <t>INT-136</t>
  </si>
  <si>
    <t>Intern_136</t>
  </si>
  <si>
    <t>INT-137</t>
  </si>
  <si>
    <t>Intern_137</t>
  </si>
  <si>
    <t>INT-138</t>
  </si>
  <si>
    <t>Intern_138</t>
  </si>
  <si>
    <t>INT-139</t>
  </si>
  <si>
    <t>Intern_139</t>
  </si>
  <si>
    <t>INT-140</t>
  </si>
  <si>
    <t>Intern_140</t>
  </si>
  <si>
    <t>INT-141</t>
  </si>
  <si>
    <t>Intern_141</t>
  </si>
  <si>
    <t>INT-142</t>
  </si>
  <si>
    <t>Intern_142</t>
  </si>
  <si>
    <t>INT-143</t>
  </si>
  <si>
    <t>Intern_143</t>
  </si>
  <si>
    <t>INT-144</t>
  </si>
  <si>
    <t>Intern_144</t>
  </si>
  <si>
    <t>INT-145</t>
  </si>
  <si>
    <t>Intern_145</t>
  </si>
  <si>
    <t>INT-146</t>
  </si>
  <si>
    <t>Intern_146</t>
  </si>
  <si>
    <t>INT-147</t>
  </si>
  <si>
    <t>Intern_147</t>
  </si>
  <si>
    <t>INT-148</t>
  </si>
  <si>
    <t>Intern_148</t>
  </si>
  <si>
    <t>INT-149</t>
  </si>
  <si>
    <t>Intern_149</t>
  </si>
  <si>
    <t>INT-150</t>
  </si>
  <si>
    <t>Intern_150</t>
  </si>
  <si>
    <t>INT-151</t>
  </si>
  <si>
    <t>Intern_151</t>
  </si>
  <si>
    <t>INT-152</t>
  </si>
  <si>
    <t>Intern_152</t>
  </si>
  <si>
    <t>INT-153</t>
  </si>
  <si>
    <t>Intern_153</t>
  </si>
  <si>
    <t>INT-154</t>
  </si>
  <si>
    <t>Intern_154</t>
  </si>
  <si>
    <t>INT-155</t>
  </si>
  <si>
    <t>Intern_155</t>
  </si>
  <si>
    <t>INT-156</t>
  </si>
  <si>
    <t>Intern_156</t>
  </si>
  <si>
    <t>INT-157</t>
  </si>
  <si>
    <t>Intern_157</t>
  </si>
  <si>
    <t>INT-158</t>
  </si>
  <si>
    <t>Intern_158</t>
  </si>
  <si>
    <t>INT-159</t>
  </si>
  <si>
    <t>Intern_159</t>
  </si>
  <si>
    <t>INT-160</t>
  </si>
  <si>
    <t>Intern_160</t>
  </si>
  <si>
    <t>INT-161</t>
  </si>
  <si>
    <t>Intern_161</t>
  </si>
  <si>
    <t>INT-162</t>
  </si>
  <si>
    <t>Intern_162</t>
  </si>
  <si>
    <t>INT-163</t>
  </si>
  <si>
    <t>Intern_163</t>
  </si>
  <si>
    <t>INT-164</t>
  </si>
  <si>
    <t>Intern_164</t>
  </si>
  <si>
    <t>INT-165</t>
  </si>
  <si>
    <t>Intern_165</t>
  </si>
  <si>
    <t>INT-166</t>
  </si>
  <si>
    <t>Intern_166</t>
  </si>
  <si>
    <t>INT-167</t>
  </si>
  <si>
    <t>Intern_167</t>
  </si>
  <si>
    <t>INT-168</t>
  </si>
  <si>
    <t>Intern_168</t>
  </si>
  <si>
    <t>INT-169</t>
  </si>
  <si>
    <t>Intern_169</t>
  </si>
  <si>
    <t>INT-170</t>
  </si>
  <si>
    <t>Intern_170</t>
  </si>
  <si>
    <t>INT-171</t>
  </si>
  <si>
    <t>Intern_171</t>
  </si>
  <si>
    <t>INT-172</t>
  </si>
  <si>
    <t>Intern_172</t>
  </si>
  <si>
    <t>INT-173</t>
  </si>
  <si>
    <t>Intern_173</t>
  </si>
  <si>
    <t>INT-174</t>
  </si>
  <si>
    <t>Intern_174</t>
  </si>
  <si>
    <t>INT-175</t>
  </si>
  <si>
    <t>Intern_175</t>
  </si>
  <si>
    <t>INT-176</t>
  </si>
  <si>
    <t>Intern_176</t>
  </si>
  <si>
    <t>INT-177</t>
  </si>
  <si>
    <t>Intern_177</t>
  </si>
  <si>
    <t>INT-178</t>
  </si>
  <si>
    <t>Intern_178</t>
  </si>
  <si>
    <t>INT-179</t>
  </si>
  <si>
    <t>Intern_179</t>
  </si>
  <si>
    <t>INT-180</t>
  </si>
  <si>
    <t>Intern_180</t>
  </si>
  <si>
    <t>INT-181</t>
  </si>
  <si>
    <t>Intern_181</t>
  </si>
  <si>
    <t>INT-182</t>
  </si>
  <si>
    <t>Intern_182</t>
  </si>
  <si>
    <t>INT-183</t>
  </si>
  <si>
    <t>Intern_183</t>
  </si>
  <si>
    <t>INT-184</t>
  </si>
  <si>
    <t>Intern_184</t>
  </si>
  <si>
    <t>INT-185</t>
  </si>
  <si>
    <t>Intern_185</t>
  </si>
  <si>
    <t>INT-186</t>
  </si>
  <si>
    <t>Intern_186</t>
  </si>
  <si>
    <t>INT-187</t>
  </si>
  <si>
    <t>Intern_187</t>
  </si>
  <si>
    <t>INT-188</t>
  </si>
  <si>
    <t>Intern_188</t>
  </si>
  <si>
    <t>INT-189</t>
  </si>
  <si>
    <t>Intern_189</t>
  </si>
  <si>
    <t>INT-190</t>
  </si>
  <si>
    <t>Intern_190</t>
  </si>
  <si>
    <t>INT-191</t>
  </si>
  <si>
    <t>Intern_191</t>
  </si>
  <si>
    <t>INT-192</t>
  </si>
  <si>
    <t>Intern_192</t>
  </si>
  <si>
    <t>INT-193</t>
  </si>
  <si>
    <t>Intern_193</t>
  </si>
  <si>
    <t>INT-194</t>
  </si>
  <si>
    <t>Intern_194</t>
  </si>
  <si>
    <t>INT-195</t>
  </si>
  <si>
    <t>Intern_195</t>
  </si>
  <si>
    <t>INT-196</t>
  </si>
  <si>
    <t>Intern_196</t>
  </si>
  <si>
    <t>INT-197</t>
  </si>
  <si>
    <t>Intern_197</t>
  </si>
  <si>
    <t>INT-198</t>
  </si>
  <si>
    <t>Intern_198</t>
  </si>
  <si>
    <t>INT-199</t>
  </si>
  <si>
    <t>Intern_199</t>
  </si>
  <si>
    <t>INT-200</t>
  </si>
  <si>
    <t>Intern_200</t>
  </si>
  <si>
    <t>INT-201</t>
  </si>
  <si>
    <t>Intern_201</t>
  </si>
  <si>
    <t>INT-202</t>
  </si>
  <si>
    <t>Intern_202</t>
  </si>
  <si>
    <t>INT-203</t>
  </si>
  <si>
    <t>Intern_203</t>
  </si>
  <si>
    <t>INT-204</t>
  </si>
  <si>
    <t>Intern_204</t>
  </si>
  <si>
    <t>INT-205</t>
  </si>
  <si>
    <t>Intern_205</t>
  </si>
  <si>
    <t>INT-206</t>
  </si>
  <si>
    <t>Intern_206</t>
  </si>
  <si>
    <t>INT-207</t>
  </si>
  <si>
    <t>Intern_207</t>
  </si>
  <si>
    <t>INT-208</t>
  </si>
  <si>
    <t>Intern_208</t>
  </si>
  <si>
    <t>INT-209</t>
  </si>
  <si>
    <t>Intern_209</t>
  </si>
  <si>
    <t>INT-210</t>
  </si>
  <si>
    <t>Intern_210</t>
  </si>
  <si>
    <t>INT-211</t>
  </si>
  <si>
    <t>Intern_211</t>
  </si>
  <si>
    <t>INT-212</t>
  </si>
  <si>
    <t>Intern_212</t>
  </si>
  <si>
    <t>INT-213</t>
  </si>
  <si>
    <t>Intern_213</t>
  </si>
  <si>
    <t>INT-214</t>
  </si>
  <si>
    <t>Intern_214</t>
  </si>
  <si>
    <t>INT-215</t>
  </si>
  <si>
    <t>Intern_215</t>
  </si>
  <si>
    <t>INT-216</t>
  </si>
  <si>
    <t>Intern_216</t>
  </si>
  <si>
    <t>INT-217</t>
  </si>
  <si>
    <t>Intern_217</t>
  </si>
  <si>
    <t>INT-218</t>
  </si>
  <si>
    <t>Intern_218</t>
  </si>
  <si>
    <t>INT-219</t>
  </si>
  <si>
    <t>Intern_219</t>
  </si>
  <si>
    <t>INT-220</t>
  </si>
  <si>
    <t>Intern_220</t>
  </si>
  <si>
    <t>INT-221</t>
  </si>
  <si>
    <t>Intern_221</t>
  </si>
  <si>
    <t>INT-222</t>
  </si>
  <si>
    <t>Intern_222</t>
  </si>
  <si>
    <t>INT-223</t>
  </si>
  <si>
    <t>Intern_223</t>
  </si>
  <si>
    <t>INT-224</t>
  </si>
  <si>
    <t>Intern_224</t>
  </si>
  <si>
    <t>INT-225</t>
  </si>
  <si>
    <t>Intern_225</t>
  </si>
  <si>
    <t>INT-226</t>
  </si>
  <si>
    <t>Intern_226</t>
  </si>
  <si>
    <t>INT-227</t>
  </si>
  <si>
    <t>Intern_227</t>
  </si>
  <si>
    <t>INT-228</t>
  </si>
  <si>
    <t>Intern_228</t>
  </si>
  <si>
    <t>INT-229</t>
  </si>
  <si>
    <t>Intern_229</t>
  </si>
  <si>
    <t>INT-230</t>
  </si>
  <si>
    <t>Intern_230</t>
  </si>
  <si>
    <t>INT-231</t>
  </si>
  <si>
    <t>Intern_231</t>
  </si>
  <si>
    <t>INT-232</t>
  </si>
  <si>
    <t>Intern_232</t>
  </si>
  <si>
    <t>INT-233</t>
  </si>
  <si>
    <t>Intern_233</t>
  </si>
  <si>
    <t>INT-234</t>
  </si>
  <si>
    <t>Intern_234</t>
  </si>
  <si>
    <t>INT-235</t>
  </si>
  <si>
    <t>Intern_235</t>
  </si>
  <si>
    <t>INT-236</t>
  </si>
  <si>
    <t>Intern_236</t>
  </si>
  <si>
    <t>INT-237</t>
  </si>
  <si>
    <t>Intern_237</t>
  </si>
  <si>
    <t>INT-238</t>
  </si>
  <si>
    <t>Intern_238</t>
  </si>
  <si>
    <t>INT-239</t>
  </si>
  <si>
    <t>Intern_239</t>
  </si>
  <si>
    <t>INT-240</t>
  </si>
  <si>
    <t>Intern_240</t>
  </si>
  <si>
    <t>INT-241</t>
  </si>
  <si>
    <t>Intern_241</t>
  </si>
  <si>
    <t>INT-242</t>
  </si>
  <si>
    <t>Intern_242</t>
  </si>
  <si>
    <t>INT-243</t>
  </si>
  <si>
    <t>Intern_243</t>
  </si>
  <si>
    <t>INT-244</t>
  </si>
  <si>
    <t>Intern_244</t>
  </si>
  <si>
    <t>INT-245</t>
  </si>
  <si>
    <t>Intern_245</t>
  </si>
  <si>
    <t>INT-246</t>
  </si>
  <si>
    <t>Intern_246</t>
  </si>
  <si>
    <t>INT-247</t>
  </si>
  <si>
    <t>Intern_247</t>
  </si>
  <si>
    <t>INT-248</t>
  </si>
  <si>
    <t>Intern_248</t>
  </si>
  <si>
    <t>INT-249</t>
  </si>
  <si>
    <t>Intern_249</t>
  </si>
  <si>
    <t>INT-250</t>
  </si>
  <si>
    <t>Intern_250</t>
  </si>
  <si>
    <t>INT-251</t>
  </si>
  <si>
    <t>Intern_251</t>
  </si>
  <si>
    <t>INT-252</t>
  </si>
  <si>
    <t>Intern_252</t>
  </si>
  <si>
    <t>INT-253</t>
  </si>
  <si>
    <t>Intern_253</t>
  </si>
  <si>
    <t>INT-254</t>
  </si>
  <si>
    <t>Intern_254</t>
  </si>
  <si>
    <t>INT-255</t>
  </si>
  <si>
    <t>Intern_255</t>
  </si>
  <si>
    <t>INT-256</t>
  </si>
  <si>
    <t>Intern_256</t>
  </si>
  <si>
    <t>INT-257</t>
  </si>
  <si>
    <t>Intern_257</t>
  </si>
  <si>
    <t>INT-258</t>
  </si>
  <si>
    <t>Intern_258</t>
  </si>
  <si>
    <t>INT-259</t>
  </si>
  <si>
    <t>Intern_259</t>
  </si>
  <si>
    <t>INT-260</t>
  </si>
  <si>
    <t>Intern_260</t>
  </si>
  <si>
    <t>INT-261</t>
  </si>
  <si>
    <t>Intern_261</t>
  </si>
  <si>
    <t>INT-262</t>
  </si>
  <si>
    <t>Intern_262</t>
  </si>
  <si>
    <t>INT-263</t>
  </si>
  <si>
    <t>Intern_263</t>
  </si>
  <si>
    <t>INT-264</t>
  </si>
  <si>
    <t>Intern_264</t>
  </si>
  <si>
    <t>INT-265</t>
  </si>
  <si>
    <t>Intern_265</t>
  </si>
  <si>
    <t>INT-266</t>
  </si>
  <si>
    <t>Intern_266</t>
  </si>
  <si>
    <t>INT-267</t>
  </si>
  <si>
    <t>Intern_267</t>
  </si>
  <si>
    <t>INT-268</t>
  </si>
  <si>
    <t>Intern_268</t>
  </si>
  <si>
    <t>INT-269</t>
  </si>
  <si>
    <t>Intern_269</t>
  </si>
  <si>
    <t>INT-270</t>
  </si>
  <si>
    <t>Intern_270</t>
  </si>
  <si>
    <t>INT-271</t>
  </si>
  <si>
    <t>Intern_271</t>
  </si>
  <si>
    <t>INT-272</t>
  </si>
  <si>
    <t>Intern_272</t>
  </si>
  <si>
    <t>INT-273</t>
  </si>
  <si>
    <t>Intern_273</t>
  </si>
  <si>
    <t>INT-274</t>
  </si>
  <si>
    <t>Intern_274</t>
  </si>
  <si>
    <t>INT-275</t>
  </si>
  <si>
    <t>Intern_275</t>
  </si>
  <si>
    <t>INT-276</t>
  </si>
  <si>
    <t>Intern_276</t>
  </si>
  <si>
    <t>INT-277</t>
  </si>
  <si>
    <t>Intern_277</t>
  </si>
  <si>
    <t>INT-278</t>
  </si>
  <si>
    <t>Intern_278</t>
  </si>
  <si>
    <t>INT-279</t>
  </si>
  <si>
    <t>Intern_279</t>
  </si>
  <si>
    <t>INT-280</t>
  </si>
  <si>
    <t>Intern_280</t>
  </si>
  <si>
    <t>INT-281</t>
  </si>
  <si>
    <t>Intern_281</t>
  </si>
  <si>
    <t>INT-282</t>
  </si>
  <si>
    <t>Intern_282</t>
  </si>
  <si>
    <t>INT-283</t>
  </si>
  <si>
    <t>Intern_283</t>
  </si>
  <si>
    <t>INT-284</t>
  </si>
  <si>
    <t>Intern_284</t>
  </si>
  <si>
    <t>INT-285</t>
  </si>
  <si>
    <t>Intern_285</t>
  </si>
  <si>
    <t>INT-286</t>
  </si>
  <si>
    <t>Intern_286</t>
  </si>
  <si>
    <t>INT-287</t>
  </si>
  <si>
    <t>Intern_287</t>
  </si>
  <si>
    <t>INT-288</t>
  </si>
  <si>
    <t>Intern_288</t>
  </si>
  <si>
    <t>INT-289</t>
  </si>
  <si>
    <t>Intern_289</t>
  </si>
  <si>
    <t>INT-290</t>
  </si>
  <si>
    <t>Intern_290</t>
  </si>
  <si>
    <t>INT-291</t>
  </si>
  <si>
    <t>Intern_291</t>
  </si>
  <si>
    <t>INT-292</t>
  </si>
  <si>
    <t>Intern_292</t>
  </si>
  <si>
    <t>INT-293</t>
  </si>
  <si>
    <t>Intern_293</t>
  </si>
  <si>
    <t>INT-294</t>
  </si>
  <si>
    <t>Intern_294</t>
  </si>
  <si>
    <t>INT-295</t>
  </si>
  <si>
    <t>Intern_295</t>
  </si>
  <si>
    <t>INT-296</t>
  </si>
  <si>
    <t>Intern_296</t>
  </si>
  <si>
    <t>INT-297</t>
  </si>
  <si>
    <t>Intern_297</t>
  </si>
  <si>
    <t>INT-298</t>
  </si>
  <si>
    <t>Intern_298</t>
  </si>
  <si>
    <t>INT-299</t>
  </si>
  <si>
    <t>Intern_299</t>
  </si>
  <si>
    <t>INT-300</t>
  </si>
  <si>
    <t>Intern_300</t>
  </si>
  <si>
    <t>Department</t>
  </si>
  <si>
    <t>Avg Performance Score</t>
  </si>
  <si>
    <t>Avg Feedback Score</t>
  </si>
  <si>
    <t>Avg Task Completion Rate</t>
  </si>
  <si>
    <t>Avg Learning Hours</t>
  </si>
  <si>
    <t>COUNTA of intern_id</t>
  </si>
  <si>
    <t>SUM of tasks_completed</t>
  </si>
  <si>
    <t>AVERAGE of attendance_rate</t>
  </si>
  <si>
    <t>AVERAGE of performance_score</t>
  </si>
  <si>
    <t>AVERAGE of stipend</t>
  </si>
  <si>
    <t>COUNT of projects_completed</t>
  </si>
  <si>
    <t>COUNT of late_submissions</t>
  </si>
  <si>
    <t>Grand Total</t>
  </si>
  <si>
    <t>Name</t>
  </si>
  <si>
    <t>Performance Score</t>
  </si>
  <si>
    <t>Feedback Score</t>
  </si>
  <si>
    <t>Task Completion Rate</t>
  </si>
  <si>
    <t>Task Completion Rate (%)</t>
  </si>
  <si>
    <t>Trends</t>
  </si>
  <si>
    <t>Trend Analysis (Correlations)</t>
  </si>
  <si>
    <t>Performance vs Attendance</t>
  </si>
  <si>
    <t>Performance vs Learning Hours</t>
  </si>
  <si>
    <t>Performance vs Late Submissions (Impact)</t>
  </si>
  <si>
    <t>SUM of Avg Performance Score</t>
  </si>
  <si>
    <t>Correlation</t>
  </si>
  <si>
    <t>Late Submissions</t>
  </si>
  <si>
    <t>Low Risk (0-1)</t>
  </si>
  <si>
    <t>Moderate (2)</t>
  </si>
  <si>
    <t>High Risk (3+)</t>
  </si>
  <si>
    <t>At-Risk names</t>
  </si>
  <si>
    <t>Avg Efficiency Score</t>
  </si>
  <si>
    <t>Avg Task Time (Hrs)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</si>
</sst>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"/>
    <numFmt numFmtId="165" formatCode="[$₹]#,##0.00"/>
    <numFmt numFmtId="166" formatCode="dd-mmm-yy"/>
    <numFmt numFmtId="167" formatCode="d-mmm-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&quot;Google Sans Mono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2" numFmtId="164" xfId="0" applyFont="1" applyNumberFormat="1"/>
    <xf borderId="0" fillId="0" fontId="2" numFmtId="10" xfId="0" applyFont="1" applyNumberFormat="1"/>
    <xf borderId="0" fillId="0" fontId="2" numFmtId="165" xfId="0" applyFont="1" applyNumberFormat="1"/>
    <xf borderId="0" fillId="2" fontId="3" numFmtId="0" xfId="0" applyFill="1" applyFont="1"/>
    <xf borderId="0" fillId="0" fontId="2" numFmtId="2" xfId="0" applyFont="1" applyNumberForma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7">
    <tableStyle count="3" pivot="0" name="Sheet1-style">
      <tableStyleElement dxfId="1" type="headerRow"/>
      <tableStyleElement dxfId="2" type="firstRowStripe"/>
      <tableStyleElement dxfId="2" type="secondRowStripe"/>
    </tableStyle>
    <tableStyle count="4" pivot="0" name="Sheet2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3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4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heet2-style 5">
      <tableStyleElement dxfId="7" type="headerRow"/>
      <tableStyleElement dxfId="2" type="firstRowStripe"/>
      <tableStyleElement dxfId="5" type="secondRowStripe"/>
      <tableStyleElement dxfId="6" size="0" type="wholeTable"/>
    </tableStyle>
    <tableStyle count="4" pivot="0" name="Chart1 Average Performance Scor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Performance Score by Department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'Chart1 Average Performance Scor'!$B$3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Performance Scor'!$A$4:$A$6</c:f>
            </c:strRef>
          </c:cat>
          <c:val>
            <c:numRef>
              <c:f>'Chart1 Average Performance Scor'!$B$4:$B$6</c:f>
              <c:numCache/>
            </c:numRef>
          </c:val>
        </c:ser>
        <c:axId val="1302904210"/>
        <c:axId val="824852797"/>
      </c:barChart>
      <c:catAx>
        <c:axId val="13029042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852797"/>
      </c:catAx>
      <c:valAx>
        <c:axId val="8248527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9042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Performance Score vs Late Submissions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Sheet2!$B$46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Sheet2!$A$47:$A$49</c:f>
            </c:strRef>
          </c:cat>
          <c:val>
            <c:numRef>
              <c:f>Sheet2!$B$47:$B$49</c:f>
              <c:numCache/>
            </c:numRef>
          </c:val>
        </c:ser>
        <c:axId val="770202228"/>
        <c:axId val="23194233"/>
      </c:barChart>
      <c:catAx>
        <c:axId val="7702022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Late Submissions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94233"/>
      </c:catAx>
      <c:valAx>
        <c:axId val="231942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2022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Average Performance 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Average Performance Scor'!$B$3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Average Performance Scor'!$A$4:$A$6</c:f>
            </c:strRef>
          </c:cat>
          <c:val>
            <c:numRef>
              <c:f>'Chart1 Average Performance Scor'!$B$4:$B$6</c:f>
              <c:numCache/>
            </c:numRef>
          </c:val>
        </c:ser>
        <c:axId val="358339951"/>
        <c:axId val="1730670901"/>
      </c:barChart>
      <c:catAx>
        <c:axId val="358339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670901"/>
      </c:catAx>
      <c:valAx>
        <c:axId val="1730670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339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8</xdr:row>
      <xdr:rowOff>0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28575</xdr:colOff>
      <xdr:row>19</xdr:row>
      <xdr:rowOff>266700</xdr:rowOff>
    </xdr:from>
    <xdr:ext cx="5715000" cy="3810000"/>
    <xdr:pic>
      <xdr:nvPicPr>
        <xdr:cNvPr id="174266803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0</xdr:rowOff>
    </xdr:from>
    <xdr:ext cx="4762500" cy="2857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301" sheet="Sheet1"/>
  </cacheSource>
  <cacheFields>
    <cacheField name="intern_id" numFmtId="0">
      <sharedItems>
        <s v="INT-001"/>
        <s v="INT-002"/>
        <s v="INT-003"/>
        <s v="INT-004"/>
        <s v="INT-005"/>
        <s v="INT-006"/>
        <s v="INT-007"/>
        <s v="INT-008"/>
        <s v="INT-009"/>
        <s v="INT-010"/>
        <s v="INT-011"/>
        <s v="INT-012"/>
        <s v="INT-013"/>
        <s v="INT-014"/>
        <s v="INT-015"/>
        <s v="INT-016"/>
        <s v="INT-017"/>
        <s v="INT-018"/>
        <s v="INT-019"/>
        <s v="INT-020"/>
        <s v="INT-021"/>
        <s v="INT-022"/>
        <s v="INT-023"/>
        <s v="INT-024"/>
        <s v="INT-025"/>
        <s v="INT-026"/>
        <s v="INT-027"/>
        <s v="INT-028"/>
        <s v="INT-029"/>
        <s v="INT-030"/>
        <s v="INT-031"/>
        <s v="INT-032"/>
        <s v="INT-033"/>
        <s v="INT-034"/>
        <s v="INT-035"/>
        <s v="INT-036"/>
        <s v="INT-037"/>
        <s v="INT-038"/>
        <s v="INT-039"/>
        <s v="INT-040"/>
        <s v="INT-041"/>
        <s v="INT-042"/>
        <s v="INT-043"/>
        <s v="INT-044"/>
        <s v="INT-045"/>
        <s v="INT-046"/>
        <s v="INT-047"/>
        <s v="INT-048"/>
        <s v="INT-049"/>
        <s v="INT-050"/>
        <s v="INT-051"/>
        <s v="INT-052"/>
        <s v="INT-053"/>
        <s v="INT-054"/>
        <s v="INT-055"/>
        <s v="INT-056"/>
        <s v="INT-057"/>
        <s v="INT-058"/>
        <s v="INT-059"/>
        <s v="INT-060"/>
        <s v="INT-061"/>
        <s v="INT-062"/>
        <s v="INT-063"/>
        <s v="INT-064"/>
        <s v="INT-065"/>
        <s v="INT-066"/>
        <s v="INT-067"/>
        <s v="INT-068"/>
        <s v="INT-069"/>
        <s v="INT-070"/>
        <s v="INT-071"/>
        <s v="INT-072"/>
        <s v="INT-073"/>
        <s v="INT-074"/>
        <s v="INT-075"/>
        <s v="INT-076"/>
        <s v="INT-077"/>
        <s v="INT-078"/>
        <s v="INT-079"/>
        <s v="INT-080"/>
        <s v="INT-081"/>
        <s v="INT-082"/>
        <s v="INT-083"/>
        <s v="INT-084"/>
        <s v="INT-085"/>
        <s v="INT-086"/>
        <s v="INT-087"/>
        <s v="INT-088"/>
        <s v="INT-089"/>
        <s v="INT-090"/>
        <s v="INT-091"/>
        <s v="INT-092"/>
        <s v="INT-093"/>
        <s v="INT-094"/>
        <s v="INT-095"/>
        <s v="INT-096"/>
        <s v="INT-097"/>
        <s v="INT-098"/>
        <s v="INT-099"/>
        <s v="INT-100"/>
        <s v="INT-101"/>
        <s v="INT-102"/>
        <s v="INT-103"/>
        <s v="INT-104"/>
        <s v="INT-105"/>
        <s v="INT-106"/>
        <s v="INT-107"/>
        <s v="INT-108"/>
        <s v="INT-109"/>
        <s v="INT-110"/>
        <s v="INT-111"/>
        <s v="INT-112"/>
        <s v="INT-113"/>
        <s v="INT-114"/>
        <s v="INT-115"/>
        <s v="INT-116"/>
        <s v="INT-117"/>
        <s v="INT-118"/>
        <s v="INT-119"/>
        <s v="INT-120"/>
        <s v="INT-121"/>
        <s v="INT-122"/>
        <s v="INT-123"/>
        <s v="INT-124"/>
        <s v="INT-125"/>
        <s v="INT-126"/>
        <s v="INT-127"/>
        <s v="INT-128"/>
        <s v="INT-129"/>
        <s v="INT-130"/>
        <s v="INT-131"/>
        <s v="INT-132"/>
        <s v="INT-133"/>
        <s v="INT-134"/>
        <s v="INT-135"/>
        <s v="INT-136"/>
        <s v="INT-137"/>
        <s v="INT-138"/>
        <s v="INT-139"/>
        <s v="INT-140"/>
        <s v="INT-141"/>
        <s v="INT-142"/>
        <s v="INT-143"/>
        <s v="INT-144"/>
        <s v="INT-145"/>
        <s v="INT-146"/>
        <s v="INT-147"/>
        <s v="INT-148"/>
        <s v="INT-149"/>
        <s v="INT-150"/>
        <s v="INT-151"/>
        <s v="INT-152"/>
        <s v="INT-153"/>
        <s v="INT-154"/>
        <s v="INT-155"/>
        <s v="INT-156"/>
        <s v="INT-157"/>
        <s v="INT-158"/>
        <s v="INT-159"/>
        <s v="INT-160"/>
        <s v="INT-161"/>
        <s v="INT-162"/>
        <s v="INT-163"/>
        <s v="INT-164"/>
        <s v="INT-165"/>
        <s v="INT-166"/>
        <s v="INT-167"/>
        <s v="INT-168"/>
        <s v="INT-169"/>
        <s v="INT-170"/>
        <s v="INT-171"/>
        <s v="INT-172"/>
        <s v="INT-173"/>
        <s v="INT-174"/>
        <s v="INT-175"/>
        <s v="INT-176"/>
        <s v="INT-177"/>
        <s v="INT-178"/>
        <s v="INT-179"/>
        <s v="INT-180"/>
        <s v="INT-181"/>
        <s v="INT-182"/>
        <s v="INT-183"/>
        <s v="INT-184"/>
        <s v="INT-185"/>
        <s v="INT-186"/>
        <s v="INT-187"/>
        <s v="INT-188"/>
        <s v="INT-189"/>
        <s v="INT-190"/>
        <s v="INT-191"/>
        <s v="INT-192"/>
        <s v="INT-193"/>
        <s v="INT-194"/>
        <s v="INT-195"/>
        <s v="INT-196"/>
        <s v="INT-197"/>
        <s v="INT-198"/>
        <s v="INT-199"/>
        <s v="INT-200"/>
        <s v="INT-201"/>
        <s v="INT-202"/>
        <s v="INT-203"/>
        <s v="INT-204"/>
        <s v="INT-205"/>
        <s v="INT-206"/>
        <s v="INT-207"/>
        <s v="INT-208"/>
        <s v="INT-209"/>
        <s v="INT-210"/>
        <s v="INT-211"/>
        <s v="INT-212"/>
        <s v="INT-213"/>
        <s v="INT-214"/>
        <s v="INT-215"/>
        <s v="INT-216"/>
        <s v="INT-217"/>
        <s v="INT-218"/>
        <s v="INT-219"/>
        <s v="INT-220"/>
        <s v="INT-221"/>
        <s v="INT-222"/>
        <s v="INT-223"/>
        <s v="INT-224"/>
        <s v="INT-225"/>
        <s v="INT-226"/>
        <s v="INT-227"/>
        <s v="INT-228"/>
        <s v="INT-229"/>
        <s v="INT-230"/>
        <s v="INT-231"/>
        <s v="INT-232"/>
        <s v="INT-233"/>
        <s v="INT-234"/>
        <s v="INT-235"/>
        <s v="INT-236"/>
        <s v="INT-237"/>
        <s v="INT-238"/>
        <s v="INT-239"/>
        <s v="INT-240"/>
        <s v="INT-241"/>
        <s v="INT-242"/>
        <s v="INT-243"/>
        <s v="INT-244"/>
        <s v="INT-245"/>
        <s v="INT-246"/>
        <s v="INT-247"/>
        <s v="INT-248"/>
        <s v="INT-249"/>
        <s v="INT-250"/>
        <s v="INT-251"/>
        <s v="INT-252"/>
        <s v="INT-253"/>
        <s v="INT-254"/>
        <s v="INT-255"/>
        <s v="INT-256"/>
        <s v="INT-257"/>
        <s v="INT-258"/>
        <s v="INT-259"/>
        <s v="INT-260"/>
        <s v="INT-261"/>
        <s v="INT-262"/>
        <s v="INT-263"/>
        <s v="INT-264"/>
        <s v="INT-265"/>
        <s v="INT-266"/>
        <s v="INT-267"/>
        <s v="INT-268"/>
        <s v="INT-269"/>
        <s v="INT-270"/>
        <s v="INT-271"/>
        <s v="INT-272"/>
        <s v="INT-273"/>
        <s v="INT-274"/>
        <s v="INT-275"/>
        <s v="INT-276"/>
        <s v="INT-277"/>
        <s v="INT-278"/>
        <s v="INT-279"/>
        <s v="INT-280"/>
        <s v="INT-281"/>
        <s v="INT-282"/>
        <s v="INT-283"/>
        <s v="INT-284"/>
        <s v="INT-285"/>
        <s v="INT-286"/>
        <s v="INT-287"/>
        <s v="INT-288"/>
        <s v="INT-289"/>
        <s v="INT-290"/>
        <s v="INT-291"/>
        <s v="INT-292"/>
        <s v="INT-293"/>
        <s v="INT-294"/>
        <s v="INT-295"/>
        <s v="INT-296"/>
        <s v="INT-297"/>
        <s v="INT-298"/>
        <s v="INT-299"/>
        <s v="INT-300"/>
      </sharedItems>
    </cacheField>
    <cacheField name="name" numFmtId="0">
      <sharedItems>
        <s v="Intern_1"/>
        <s v="Intern_2"/>
        <s v="Intern_3"/>
        <s v="Intern_4"/>
        <s v="Intern_5"/>
        <s v="Intern_6"/>
        <s v="Intern_7"/>
        <s v="Intern_8"/>
        <s v="Intern_9"/>
        <s v="Intern_10"/>
        <s v="Intern_11"/>
        <s v="Intern_12"/>
        <s v="Intern_13"/>
        <s v="Intern_14"/>
        <s v="Intern_15"/>
        <s v="Intern_16"/>
        <s v="Intern_17"/>
        <s v="Intern_18"/>
        <s v="Intern_19"/>
        <s v="Intern_20"/>
        <s v="Intern_21"/>
        <s v="Intern_22"/>
        <s v="Intern_23"/>
        <s v="Intern_24"/>
        <s v="Intern_25"/>
        <s v="Intern_26"/>
        <s v="Intern_27"/>
        <s v="Intern_28"/>
        <s v="Intern_29"/>
        <s v="Intern_30"/>
        <s v="Intern_31"/>
        <s v="Intern_32"/>
        <s v="Intern_33"/>
        <s v="Intern_34"/>
        <s v="Intern_35"/>
        <s v="Intern_36"/>
        <s v="Intern_37"/>
        <s v="Intern_38"/>
        <s v="Intern_39"/>
        <s v="Intern_40"/>
        <s v="Intern_41"/>
        <s v="Intern_42"/>
        <s v="Intern_43"/>
        <s v="Intern_44"/>
        <s v="Intern_45"/>
        <s v="Intern_46"/>
        <s v="Intern_47"/>
        <s v="Intern_48"/>
        <s v="Intern_49"/>
        <s v="Intern_50"/>
        <s v="Intern_51"/>
        <s v="Intern_52"/>
        <s v="Intern_53"/>
        <s v="Intern_54"/>
        <s v="Intern_55"/>
        <s v="Intern_56"/>
        <s v="Intern_57"/>
        <s v="Intern_58"/>
        <s v="Intern_59"/>
        <s v="Intern_60"/>
        <s v="Intern_61"/>
        <s v="Intern_62"/>
        <s v="Intern_63"/>
        <s v="Intern_64"/>
        <s v="Intern_65"/>
        <s v="Intern_66"/>
        <s v="Intern_67"/>
        <s v="Intern_68"/>
        <s v="Intern_69"/>
        <s v="Intern_70"/>
        <s v="Intern_71"/>
        <s v="Intern_72"/>
        <s v="Intern_73"/>
        <s v="Intern_74"/>
        <s v="Intern_75"/>
        <s v="Intern_76"/>
        <s v="Intern_77"/>
        <s v="Intern_78"/>
        <s v="Intern_79"/>
        <s v="Intern_80"/>
        <s v="Intern_81"/>
        <s v="Intern_82"/>
        <s v="Intern_83"/>
        <s v="Intern_84"/>
        <s v="Intern_85"/>
        <s v="Intern_86"/>
        <s v="Intern_87"/>
        <s v="Intern_88"/>
        <s v="Intern_89"/>
        <s v="Intern_90"/>
        <s v="Intern_91"/>
        <s v="Intern_92"/>
        <s v="Intern_93"/>
        <s v="Intern_94"/>
        <s v="Intern_95"/>
        <s v="Intern_96"/>
        <s v="Intern_97"/>
        <s v="Intern_98"/>
        <s v="Intern_99"/>
        <s v="Intern_100"/>
        <s v="Intern_101"/>
        <s v="Intern_102"/>
        <s v="Intern_103"/>
        <s v="Intern_104"/>
        <s v="Intern_105"/>
        <s v="Intern_106"/>
        <s v="Intern_107"/>
        <s v="Intern_108"/>
        <s v="Intern_109"/>
        <s v="Intern_110"/>
        <s v="Intern_111"/>
        <s v="Intern_112"/>
        <s v="Intern_113"/>
        <s v="Intern_114"/>
        <s v="Intern_115"/>
        <s v="Intern_116"/>
        <s v="Intern_117"/>
        <s v="Intern_118"/>
        <s v="Intern_119"/>
        <s v="Intern_120"/>
        <s v="Intern_121"/>
        <s v="Intern_122"/>
        <s v="Intern_123"/>
        <s v="Intern_124"/>
        <s v="Intern_125"/>
        <s v="Intern_126"/>
        <s v="Intern_127"/>
        <s v="Intern_128"/>
        <s v="Intern_129"/>
        <s v="Intern_130"/>
        <s v="Intern_131"/>
        <s v="Intern_132"/>
        <s v="Intern_133"/>
        <s v="Intern_134"/>
        <s v="Intern_135"/>
        <s v="Intern_136"/>
        <s v="Intern_137"/>
        <s v="Intern_138"/>
        <s v="Intern_139"/>
        <s v="Intern_140"/>
        <s v="Intern_141"/>
        <s v="Intern_142"/>
        <s v="Intern_143"/>
        <s v="Intern_144"/>
        <s v="Intern_145"/>
        <s v="Intern_146"/>
        <s v="Intern_147"/>
        <s v="Intern_148"/>
        <s v="Intern_149"/>
        <s v="Intern_150"/>
        <s v="Intern_151"/>
        <s v="Intern_152"/>
        <s v="Intern_153"/>
        <s v="Intern_154"/>
        <s v="Intern_155"/>
        <s v="Intern_156"/>
        <s v="Intern_157"/>
        <s v="Intern_158"/>
        <s v="Intern_159"/>
        <s v="Intern_160"/>
        <s v="Intern_161"/>
        <s v="Intern_162"/>
        <s v="Intern_163"/>
        <s v="Intern_164"/>
        <s v="Intern_165"/>
        <s v="Intern_166"/>
        <s v="Intern_167"/>
        <s v="Intern_168"/>
        <s v="Intern_169"/>
        <s v="Intern_170"/>
        <s v="Intern_171"/>
        <s v="Intern_172"/>
        <s v="Intern_173"/>
        <s v="Intern_174"/>
        <s v="Intern_175"/>
        <s v="Intern_176"/>
        <s v="Intern_177"/>
        <s v="Intern_178"/>
        <s v="Intern_179"/>
        <s v="Intern_180"/>
        <s v="Intern_181"/>
        <s v="Intern_182"/>
        <s v="Intern_183"/>
        <s v="Intern_184"/>
        <s v="Intern_185"/>
        <s v="Intern_186"/>
        <s v="Intern_187"/>
        <s v="Intern_188"/>
        <s v="Intern_189"/>
        <s v="Intern_190"/>
        <s v="Intern_191"/>
        <s v="Intern_192"/>
        <s v="Intern_193"/>
        <s v="Intern_194"/>
        <s v="Intern_195"/>
        <s v="Intern_196"/>
        <s v="Intern_197"/>
        <s v="Intern_198"/>
        <s v="Intern_199"/>
        <s v="Intern_200"/>
        <s v="Intern_201"/>
        <s v="Intern_202"/>
        <s v="Intern_203"/>
        <s v="Intern_204"/>
        <s v="Intern_205"/>
        <s v="Intern_206"/>
        <s v="Intern_207"/>
        <s v="Intern_208"/>
        <s v="Intern_209"/>
        <s v="Intern_210"/>
        <s v="Intern_211"/>
        <s v="Intern_212"/>
        <s v="Intern_213"/>
        <s v="Intern_214"/>
        <s v="Intern_215"/>
        <s v="Intern_216"/>
        <s v="Intern_217"/>
        <s v="Intern_218"/>
        <s v="Intern_219"/>
        <s v="Intern_220"/>
        <s v="Intern_221"/>
        <s v="Intern_222"/>
        <s v="Intern_223"/>
        <s v="Intern_224"/>
        <s v="Intern_225"/>
        <s v="Intern_226"/>
        <s v="Intern_227"/>
        <s v="Intern_228"/>
        <s v="Intern_229"/>
        <s v="Intern_230"/>
        <s v="Intern_231"/>
        <s v="Intern_232"/>
        <s v="Intern_233"/>
        <s v="Intern_234"/>
        <s v="Intern_235"/>
        <s v="Intern_236"/>
        <s v="Intern_237"/>
        <s v="Intern_238"/>
        <s v="Intern_239"/>
        <s v="Intern_240"/>
        <s v="Intern_241"/>
        <s v="Intern_242"/>
        <s v="Intern_243"/>
        <s v="Intern_244"/>
        <s v="Intern_245"/>
        <s v="Intern_246"/>
        <s v="Intern_247"/>
        <s v="Intern_248"/>
        <s v="Intern_249"/>
        <s v="Intern_250"/>
        <s v="Intern_251"/>
        <s v="Intern_252"/>
        <s v="Intern_253"/>
        <s v="Intern_254"/>
        <s v="Intern_255"/>
        <s v="Intern_256"/>
        <s v="Intern_257"/>
        <s v="Intern_258"/>
        <s v="Intern_259"/>
        <s v="Intern_260"/>
        <s v="Intern_261"/>
        <s v="Intern_262"/>
        <s v="Intern_263"/>
        <s v="Intern_264"/>
        <s v="Intern_265"/>
        <s v="Intern_266"/>
        <s v="Intern_267"/>
        <s v="Intern_268"/>
        <s v="Intern_269"/>
        <s v="Intern_270"/>
        <s v="Intern_271"/>
        <s v="Intern_272"/>
        <s v="Intern_273"/>
        <s v="Intern_274"/>
        <s v="Intern_275"/>
        <s v="Intern_276"/>
        <s v="Intern_277"/>
        <s v="Intern_278"/>
        <s v="Intern_279"/>
        <s v="Intern_280"/>
        <s v="Intern_281"/>
        <s v="Intern_282"/>
        <s v="Intern_283"/>
        <s v="Intern_284"/>
        <s v="Intern_285"/>
        <s v="Intern_286"/>
        <s v="Intern_287"/>
        <s v="Intern_288"/>
        <s v="Intern_289"/>
        <s v="Intern_290"/>
        <s v="Intern_291"/>
        <s v="Intern_292"/>
        <s v="Intern_293"/>
        <s v="Intern_294"/>
        <s v="Intern_295"/>
        <s v="Intern_296"/>
        <s v="Intern_297"/>
        <s v="Intern_298"/>
        <s v="Intern_299"/>
        <s v="Intern_300"/>
      </sharedItems>
    </cacheField>
    <cacheField name="department" numFmtId="0">
      <sharedItems>
        <s v="Data Science"/>
        <s v="Dev"/>
        <s v="HR"/>
      </sharedItems>
    </cacheField>
    <cacheField name="start_date" numFmtId="166">
      <sharedItems containsSemiMixedTypes="0" containsDate="1" containsString="0">
        <d v="2025-06-02T00:00:00Z"/>
        <d v="2025-06-30T00:00:00Z"/>
        <d v="2025-06-08T00:00:00Z"/>
        <d v="2025-06-13T00:00:00Z"/>
        <d v="2025-06-05T00:00:00Z"/>
        <d v="2025-06-23T00:00:00Z"/>
        <d v="2025-06-28T00:00:00Z"/>
        <d v="2025-06-24T00:00:00Z"/>
        <d v="2025-06-06T00:00:00Z"/>
        <d v="2025-06-20T00:00:00Z"/>
        <d v="2025-06-26T00:00:00Z"/>
        <d v="2025-06-03T00:00:00Z"/>
        <d v="2025-06-04T00:00:00Z"/>
        <d v="2025-06-27T00:00:00Z"/>
        <d v="2025-06-19T00:00:00Z"/>
        <d v="2025-06-16T00:00:00Z"/>
        <d v="2025-06-17T00:00:00Z"/>
        <d v="2025-06-22T00:00:00Z"/>
        <d v="2025-06-15T00:00:00Z"/>
        <d v="2025-06-07T00:00:00Z"/>
        <d v="2025-06-25T00:00:00Z"/>
        <d v="2025-06-21T00:00:00Z"/>
        <d v="2025-06-18T00:00:00Z"/>
        <d v="2025-06-01T00:00:00Z"/>
        <d v="2025-06-09T00:00:00Z"/>
        <d v="2025-06-14T00:00:00Z"/>
        <d v="2025-06-12T00:00:00Z"/>
        <d v="2025-06-29T00:00:00Z"/>
        <d v="2025-06-10T00:00:00Z"/>
        <d v="2025-06-11T00:00:00Z"/>
      </sharedItems>
    </cacheField>
    <cacheField name="end_date" numFmtId="167">
      <sharedItems containsSemiMixedTypes="0" containsDate="1" containsString="0">
        <d v="2025-08-23T00:00:00Z"/>
        <d v="2025-09-14T00:00:00Z"/>
        <d v="2025-09-06T00:00:00Z"/>
        <d v="2025-07-28T00:00:00Z"/>
        <d v="2025-09-01T00:00:00Z"/>
        <d v="2025-08-08T00:00:00Z"/>
        <d v="2025-08-28T00:00:00Z"/>
        <d v="2025-09-20T00:00:00Z"/>
        <d v="2025-09-05T00:00:00Z"/>
        <d v="2025-07-26T00:00:00Z"/>
        <d v="2025-08-10T00:00:00Z"/>
        <d v="2025-07-18T00:00:00Z"/>
        <d v="2025-08-05T00:00:00Z"/>
        <d v="2025-08-22T00:00:00Z"/>
        <d v="2025-08-29T00:00:00Z"/>
        <d v="2025-09-17T00:00:00Z"/>
        <d v="2025-09-02T00:00:00Z"/>
        <d v="2025-07-30T00:00:00Z"/>
        <d v="2025-08-17T00:00:00Z"/>
        <d v="2025-09-07T00:00:00Z"/>
        <d v="2025-08-20T00:00:00Z"/>
        <d v="2025-08-02T00:00:00Z"/>
        <d v="2025-08-01T00:00:00Z"/>
        <d v="2025-08-15T00:00:00Z"/>
        <d v="2025-09-10T00:00:00Z"/>
        <d v="2025-08-13T00:00:00Z"/>
        <d v="2025-07-31T00:00:00Z"/>
        <d v="2025-08-16T00:00:00Z"/>
        <d v="2025-08-09T00:00:00Z"/>
        <d v="2025-08-26T00:00:00Z"/>
        <d v="2025-09-13T00:00:00Z"/>
        <d v="2025-08-30T00:00:00Z"/>
        <d v="2025-09-09T00:00:00Z"/>
        <d v="2025-09-15T00:00:00Z"/>
        <d v="2025-08-19T00:00:00Z"/>
        <d v="2025-07-10T00:00:00Z"/>
        <d v="2025-08-25T00:00:00Z"/>
        <d v="2025-08-14T00:00:00Z"/>
        <d v="2025-09-04T00:00:00Z"/>
        <d v="2025-07-08T00:00:00Z"/>
        <d v="2025-07-22T00:00:00Z"/>
        <d v="2025-07-21T00:00:00Z"/>
        <d v="2025-07-02T00:00:00Z"/>
        <d v="2025-07-29T00:00:00Z"/>
        <d v="2025-09-08T00:00:00Z"/>
        <d v="2025-07-16T00:00:00Z"/>
        <d v="2025-07-20T00:00:00Z"/>
        <d v="2025-08-03T00:00:00Z"/>
        <d v="2025-07-25T00:00:00Z"/>
        <d v="2025-09-03T00:00:00Z"/>
        <d v="2025-08-24T00:00:00Z"/>
        <d v="2025-07-27T00:00:00Z"/>
        <d v="2025-07-07T00:00:00Z"/>
        <d v="2025-07-14T00:00:00Z"/>
        <d v="2025-07-11T00:00:00Z"/>
        <d v="2025-08-31T00:00:00Z"/>
        <d v="2025-09-12T00:00:00Z"/>
        <d v="2025-09-11T00:00:00Z"/>
        <d v="2025-07-23T00:00:00Z"/>
        <d v="2025-08-27T00:00:00Z"/>
        <d v="2025-08-12T00:00:00Z"/>
        <d v="2025-07-24T00:00:00Z"/>
        <d v="2025-08-11T00:00:00Z"/>
        <d v="2025-08-21T00:00:00Z"/>
        <d v="2025-08-07T00:00:00Z"/>
        <d v="2025-09-18T00:00:00Z"/>
        <d v="2025-07-09T00:00:00Z"/>
        <d v="2025-07-17T00:00:00Z"/>
        <d v="2025-09-16T00:00:00Z"/>
        <d v="2025-07-19T00:00:00Z"/>
        <d v="2025-08-04T00:00:00Z"/>
        <d v="2025-09-21T00:00:00Z"/>
        <d v="2025-08-06T00:00:00Z"/>
        <d v="2025-09-23T00:00:00Z"/>
        <d v="2025-09-19T00:00:00Z"/>
        <d v="2025-09-24T00:00:00Z"/>
        <d v="2025-07-15T00:00:00Z"/>
      </sharedItems>
    </cacheField>
    <cacheField name="tasks_assigned" numFmtId="0">
      <sharedItems containsSemiMixedTypes="0" containsString="0" containsNumber="1" containsInteger="1">
        <n v="28.0"/>
        <n v="34.0"/>
        <n v="13.0"/>
        <n v="24.0"/>
        <n v="32.0"/>
        <n v="22.0"/>
        <n v="15.0"/>
        <n v="12.0"/>
        <n v="21.0"/>
        <n v="29.0"/>
        <n v="37.0"/>
        <n v="31.0"/>
        <n v="44.0"/>
        <n v="30.0"/>
        <n v="11.0"/>
        <n v="16.0"/>
        <n v="39.0"/>
        <n v="18.0"/>
        <n v="35.0"/>
        <n v="40.0"/>
        <n v="20.0"/>
        <n v="50.0"/>
        <n v="48.0"/>
        <n v="46.0"/>
        <n v="36.0"/>
        <n v="26.0"/>
        <n v="25.0"/>
        <n v="14.0"/>
        <n v="49.0"/>
        <n v="23.0"/>
        <n v="27.0"/>
        <n v="38.0"/>
        <n v="43.0"/>
        <n v="19.0"/>
        <n v="41.0"/>
        <n v="47.0"/>
        <n v="42.0"/>
        <n v="17.0"/>
        <n v="45.0"/>
        <n v="33.0"/>
        <n v="10.0"/>
      </sharedItems>
    </cacheField>
    <cacheField name="tasks_completed" numFmtId="0">
      <sharedItems containsSemiMixedTypes="0" containsString="0" containsNumber="1" containsInteger="1">
        <n v="18.0"/>
        <n v="28.0"/>
        <n v="10.0"/>
        <n v="16.0"/>
        <n v="30.0"/>
        <n v="17.0"/>
        <n v="7.0"/>
        <n v="13.0"/>
        <n v="21.0"/>
        <n v="24.0"/>
        <n v="15.0"/>
        <n v="29.0"/>
        <n v="26.0"/>
        <n v="6.0"/>
        <n v="19.0"/>
        <n v="34.0"/>
        <n v="12.0"/>
        <n v="31.0"/>
        <n v="14.0"/>
        <n v="27.0"/>
        <n v="25.0"/>
        <n v="23.0"/>
        <n v="11.0"/>
        <n v="39.0"/>
        <n v="8.0"/>
        <n v="9.0"/>
        <n v="20.0"/>
        <n v="22.0"/>
        <n v="40.0"/>
        <n v="46.0"/>
        <n v="38.0"/>
        <n v="33.0"/>
        <n v="35.0"/>
        <n v="36.0"/>
        <n v="37.0"/>
        <n v="32.0"/>
        <n v="5.0"/>
        <n v="43.0"/>
      </sharedItems>
    </cacheField>
    <cacheField name="avg_task_time" numFmtId="0">
      <sharedItems containsSemiMixedTypes="0" containsString="0" containsNumber="1">
        <n v="4.0"/>
        <n v="2.3"/>
        <n v="7.2"/>
        <n v="9.3"/>
        <n v="3.6"/>
        <n v="6.3"/>
        <n v="5.3"/>
        <n v="4.7"/>
        <n v="4.8"/>
        <n v="3.7"/>
        <n v="3.2"/>
        <n v="7.4"/>
        <n v="5.9"/>
        <n v="2.7"/>
        <n v="9.8"/>
        <n v="3.5"/>
        <n v="5.4"/>
        <n v="2.2"/>
        <n v="6.8"/>
        <n v="1.3"/>
        <n v="7.5"/>
        <n v="9.2"/>
        <n v="1.1"/>
        <n v="1.4"/>
        <n v="8.2"/>
        <n v="4.4"/>
        <n v="9.6"/>
        <n v="8.8"/>
        <n v="3.3"/>
        <n v="9.7"/>
        <n v="3.8"/>
        <n v="7.7"/>
        <n v="7.8"/>
        <n v="7.3"/>
        <n v="4.1"/>
        <n v="2.9"/>
        <n v="4.2"/>
        <n v="6.5"/>
        <n v="1.0"/>
        <n v="1.6"/>
        <n v="9.4"/>
        <n v="7.1"/>
        <n v="6.6"/>
        <n v="8.9"/>
        <n v="2.5"/>
        <n v="5.8"/>
        <n v="1.2"/>
        <n v="8.0"/>
        <n v="6.7"/>
        <n v="5.5"/>
        <n v="4.6"/>
        <n v="8.6"/>
        <n v="1.8"/>
        <n v="2.4"/>
        <n v="9.5"/>
        <n v="8.4"/>
        <n v="6.9"/>
        <n v="2.8"/>
        <n v="9.1"/>
        <n v="4.9"/>
        <n v="3.9"/>
        <n v="1.5"/>
        <n v="7.0"/>
        <n v="6.2"/>
        <n v="8.1"/>
        <n v="2.0"/>
        <n v="9.0"/>
        <n v="4.5"/>
        <n v="5.6"/>
        <n v="2.6"/>
        <n v="7.6"/>
        <n v="6.4"/>
        <n v="5.7"/>
        <n v="2.1"/>
        <n v="3.0"/>
        <n v="3.1"/>
        <n v="9.9"/>
        <n v="5.2"/>
        <n v="1.9"/>
        <n v="10.0"/>
        <n v="7.9"/>
        <n v="3.4"/>
        <n v="6.0"/>
        <n v="4.3"/>
        <n v="6.1"/>
        <n v="8.7"/>
        <n v="8.3"/>
      </sharedItems>
    </cacheField>
    <cacheField name="attendance_rate" numFmtId="10">
      <sharedItems containsSemiMixedTypes="0" containsString="0" containsNumber="1">
        <n v="0.7498"/>
        <n v="0.6003"/>
        <n v="0.9933"/>
        <n v="0.9637"/>
        <n v="0.8347"/>
        <n v="0.966"/>
        <n v="0.9396"/>
        <n v="0.9022"/>
        <n v="0.644"/>
        <n v="0.7293"/>
        <n v="0.6958"/>
        <n v="0.9266"/>
        <n v="0.759"/>
        <n v="0.7043"/>
        <n v="0.8568"/>
        <n v="0.7302"/>
        <n v="0.8011"/>
        <n v="0.9867"/>
        <n v="0.6389"/>
        <n v="0.9468"/>
        <n v="0.7502"/>
        <n v="0.908"/>
        <n v="0.7734"/>
        <n v="0.9819"/>
        <n v="0.7385"/>
        <n v="0.8709"/>
        <n v="0.8726"/>
        <n v="0.8927"/>
        <n v="0.64"/>
        <n v="0.7173"/>
        <n v="0.689"/>
        <n v="0.7401"/>
        <n v="0.8984"/>
        <n v="0.9877"/>
        <n v="0.7855"/>
        <n v="0.929"/>
        <n v="0.8377"/>
        <n v="0.7511"/>
        <n v="0.9409"/>
        <n v="0.836"/>
        <n v="0.6961"/>
        <n v="0.6163"/>
        <n v="0.9198"/>
        <n v="0.7476"/>
        <n v="0.608"/>
        <n v="0.8231"/>
        <n v="0.603"/>
        <n v="0.8874"/>
        <n v="0.7155"/>
        <n v="0.8383"/>
        <n v="0.8159"/>
        <n v="0.7982"/>
        <n v="0.7589"/>
        <n v="0.6726"/>
        <n v="0.8605"/>
        <n v="0.8432"/>
        <n v="0.8348"/>
        <n v="0.6712"/>
        <n v="0.85"/>
        <n v="0.9447"/>
        <n v="0.6398"/>
        <n v="0.7367"/>
        <n v="0.6457"/>
        <n v="0.9602"/>
        <n v="0.96"/>
        <n v="0.6331"/>
        <n v="0.893"/>
        <n v="0.9492"/>
        <n v="0.7189"/>
        <n v="0.692"/>
        <n v="0.9507"/>
        <n v="0.9495"/>
        <n v="0.8356"/>
        <n v="0.8454"/>
        <n v="0.998"/>
        <n v="0.9823"/>
        <n v="0.7984"/>
        <n v="0.7068"/>
        <n v="0.9487"/>
        <n v="0.7148"/>
        <n v="0.7569"/>
        <n v="0.6232"/>
        <n v="0.9417"/>
        <n v="0.7097"/>
        <n v="0.6637"/>
        <n v="0.8393"/>
        <n v="0.7582"/>
        <n v="0.7384"/>
        <n v="0.6801"/>
        <n v="0.8449"/>
        <n v="0.6988"/>
        <n v="0.9985"/>
        <n v="0.7702"/>
        <n v="0.7535"/>
        <n v="0.6989"/>
        <n v="0.7815"/>
        <n v="0.6147"/>
        <n v="0.7809"/>
        <n v="0.7955"/>
        <n v="0.8771"/>
        <n v="0.6193"/>
        <n v="0.7742"/>
        <n v="0.6059"/>
        <n v="0.8198"/>
        <n v="0.7406"/>
        <n v="0.6493"/>
        <n v="0.7494"/>
        <n v="0.7023"/>
        <n v="0.6714"/>
        <n v="0.7771"/>
        <n v="0.9327"/>
        <n v="0.8647"/>
        <n v="0.6005"/>
        <n v="0.8027"/>
        <n v="0.7119"/>
        <n v="0.729"/>
        <n v="0.9059"/>
        <n v="0.6001"/>
        <n v="0.8769"/>
        <n v="0.6708"/>
        <n v="0.7294"/>
        <n v="0.6509"/>
        <n v="0.9721"/>
        <n v="0.8636"/>
        <n v="0.9135"/>
        <n v="0.8669"/>
        <n v="0.6175"/>
        <n v="0.6051"/>
        <n v="0.8158"/>
        <n v="0.9033"/>
        <n v="0.9526"/>
        <n v="0.8217"/>
        <n v="0.7542"/>
        <n v="0.6902"/>
        <n v="0.8081"/>
        <n v="0.764"/>
        <n v="0.9491"/>
        <n v="0.6054"/>
        <n v="0.7073"/>
        <n v="0.8655"/>
        <n v="0.7398"/>
        <n v="0.6271"/>
        <n v="0.8182"/>
        <n v="0.9518"/>
        <n v="0.6374"/>
        <n v="0.779"/>
        <n v="0.9194"/>
        <n v="0.6649"/>
        <n v="0.9605"/>
        <n v="0.6765"/>
        <n v="0.6669"/>
        <n v="0.923"/>
        <n v="0.7916"/>
        <n v="0.8485"/>
        <n v="0.9956"/>
        <n v="0.9639"/>
        <n v="0.957"/>
        <n v="0.8536"/>
        <n v="0.7879"/>
        <n v="0.9267"/>
        <n v="0.7687"/>
        <n v="0.8385"/>
        <n v="0.9653"/>
        <n v="0.6338"/>
        <n v="0.7225"/>
        <n v="0.6179"/>
        <n v="0.7458"/>
        <n v="0.7951"/>
        <n v="0.7389"/>
        <n v="0.6805"/>
        <n v="0.8197"/>
        <n v="0.8251"/>
        <n v="0.8561"/>
        <n v="0.7115"/>
        <n v="0.6418"/>
        <n v="0.6404"/>
        <n v="0.7605"/>
        <n v="0.8879"/>
        <n v="0.9101"/>
        <n v="0.886"/>
        <n v="0.7253"/>
        <n v="0.6017"/>
        <n v="0.754"/>
        <n v="0.8922"/>
        <n v="0.8317"/>
        <n v="0.9644"/>
        <n v="0.7591"/>
        <n v="0.6727"/>
        <n v="0.6094"/>
        <n v="0.9831"/>
        <n v="0.9927"/>
        <n v="0.6921"/>
        <n v="0.6663"/>
        <n v="0.8278"/>
        <n v="0.9092"/>
        <n v="0.7287"/>
        <n v="0.9973"/>
        <n v="0.6766"/>
        <n v="0.8253"/>
        <n v="0.6828"/>
        <n v="0.9724"/>
        <n v="0.7691"/>
        <n v="0.6598"/>
        <n v="0.652"/>
        <n v="0.7096"/>
        <n v="0.6207"/>
        <n v="0.7002"/>
        <n v="0.8931"/>
        <n v="0.8529"/>
        <n v="0.6818"/>
        <n v="0.6688"/>
        <n v="0.7084"/>
        <n v="0.9759"/>
        <n v="0.7754"/>
        <n v="0.7424"/>
        <n v="0.7974"/>
        <n v="0.7474"/>
        <n v="0.7204"/>
        <n v="0.6282"/>
        <n v="0.6864"/>
        <n v="0.7379"/>
        <n v="0.8963"/>
        <n v="0.7244"/>
        <n v="0.8716"/>
        <n v="0.6825"/>
        <n v="0.6814"/>
        <n v="0.9509"/>
        <n v="0.749"/>
        <n v="0.9128"/>
        <n v="0.9"/>
        <n v="0.8866"/>
        <n v="0.6535"/>
        <n v="0.7059"/>
        <n v="0.9554"/>
        <n v="0.8992"/>
        <n v="0.9397"/>
        <n v="0.7659"/>
        <n v="0.8474"/>
        <n v="0.7101"/>
        <n v="0.8799"/>
        <n v="0.8962"/>
        <n v="0.8387"/>
        <n v="0.9901"/>
        <n v="0.9941"/>
        <n v="0.8696"/>
        <n v="0.7214"/>
        <n v="0.9108"/>
        <n v="0.8238"/>
        <n v="0.6919"/>
        <n v="0.8235"/>
        <n v="0.9483"/>
        <n v="0.7166"/>
        <n v="0.8698"/>
        <n v="0.9412"/>
        <n v="0.8782"/>
        <n v="0.9392"/>
        <n v="0.7374"/>
        <n v="0.9005"/>
        <n v="0.7256"/>
        <n v="0.8729"/>
        <n v="0.6269"/>
        <n v="0.6211"/>
        <n v="0.745"/>
        <n v="0.9294"/>
        <n v="0.8617"/>
        <n v="0.6187"/>
        <n v="0.8073"/>
        <n v="0.901"/>
        <n v="0.7936"/>
        <n v="0.6936"/>
        <n v="0.6725"/>
        <n v="0.7362"/>
        <n v="0.6855"/>
        <n v="0.8141"/>
        <n v="0.6773"/>
        <n v="0.8211"/>
        <n v="0.735"/>
        <n v="0.6564"/>
        <n v="0.6625"/>
        <n v="0.8661"/>
        <n v="0.8047"/>
        <n v="0.6849"/>
        <n v="0.8534"/>
        <n v="0.8859"/>
        <n v="0.7769"/>
        <n v="0.6473"/>
        <n v="0.8058"/>
        <n v="0.8331"/>
        <n v="0.8291"/>
        <n v="0.7192"/>
        <n v="0.7597"/>
        <n v="0.6084"/>
        <n v="0.748"/>
        <n v="0.7997"/>
      </sharedItems>
    </cacheField>
    <cacheField name="performance_score" numFmtId="0">
      <sharedItems containsSemiMixedTypes="0" containsString="0" containsNumber="1">
        <n v="7.0"/>
        <n v="5.9"/>
        <n v="6.5"/>
        <n v="5.4"/>
        <n v="7.7"/>
        <n v="10.0"/>
        <n v="4.6"/>
        <n v="7.5"/>
        <n v="7.3"/>
        <n v="6.3"/>
        <n v="3.9"/>
        <n v="5.0"/>
        <n v="7.6"/>
        <n v="5.1"/>
        <n v="7.2"/>
        <n v="3.3"/>
        <n v="4.5"/>
        <n v="8.6"/>
        <n v="7.9"/>
        <n v="4.8"/>
        <n v="7.1"/>
        <n v="4.1"/>
        <n v="6.6"/>
        <n v="2.3"/>
        <n v="4.2"/>
        <n v="6.8"/>
        <n v="5.7"/>
        <n v="9.5"/>
        <n v="6.2"/>
        <n v="6.1"/>
        <n v="5.2"/>
        <n v="1.8"/>
        <n v="2.0"/>
        <n v="8.0"/>
        <n v="3.8"/>
        <n v="3.6"/>
        <n v="8.1"/>
        <n v="4.4"/>
        <n v="6.4"/>
        <n v="3.2"/>
        <n v="5.6"/>
        <n v="9.8"/>
        <n v="6.0"/>
        <n v="6.7"/>
        <n v="3.0"/>
        <n v="5.3"/>
        <n v="4.9"/>
        <n v="6.9"/>
        <n v="5.5"/>
        <n v="2.8"/>
        <n v="4.0"/>
        <n v="4.7"/>
        <n v="8.4"/>
        <n v="5.8"/>
        <n v="7.8"/>
        <n v="7.4"/>
        <n v="9.0"/>
        <n v="8.5"/>
        <n v="2.1"/>
        <n v="3.4"/>
        <n v="3.5"/>
        <n v="8.2"/>
        <n v="8.3"/>
        <n v="9.4"/>
        <n v="8.7"/>
        <n v="9.6"/>
        <n v="2.7"/>
        <n v="2.4"/>
        <n v="2.5"/>
        <n v="3.7"/>
        <n v="1.7"/>
        <n v="9.2"/>
        <n v="9.1"/>
        <n v="2.9"/>
        <n v="9.3"/>
        <n v="2.2"/>
        <n v="8.8"/>
      </sharedItems>
    </cacheField>
    <cacheField name="feedback_score" numFmtId="0">
      <sharedItems containsSemiMixedTypes="0" containsString="0" containsNumber="1">
        <n v="7.3"/>
        <n v="5.3"/>
        <n v="5.8"/>
        <n v="8.4"/>
        <n v="10.0"/>
        <n v="5.9"/>
        <n v="7.0"/>
        <n v="6.3"/>
        <n v="3.8"/>
        <n v="4.6"/>
        <n v="6.9"/>
        <n v="6.4"/>
        <n v="3.9"/>
        <n v="4.7"/>
        <n v="7.7"/>
        <n v="4.8"/>
        <n v="8.6"/>
        <n v="4.5"/>
        <n v="7.1"/>
        <n v="3.0"/>
        <n v="5.5"/>
        <n v="1.2"/>
        <n v="4.0"/>
        <n v="6.7"/>
        <n v="7.6"/>
        <n v="7.5"/>
        <n v="6.5"/>
        <n v="6.1"/>
        <n v="7.2"/>
        <n v="6.2"/>
        <n v="5.2"/>
        <n v="1.8"/>
        <n v="6.8"/>
        <n v="3.1"/>
        <n v="5.1"/>
        <n v="3.7"/>
        <n v="7.8"/>
        <n v="5.0"/>
        <n v="4.3"/>
        <n v="4.2"/>
        <n v="8.7"/>
        <n v="6.0"/>
        <n v="3.3"/>
        <n v="2.7"/>
        <n v="5.6"/>
        <n v="1.6"/>
        <n v="2.8"/>
        <n v="8.5"/>
        <n v="5.7"/>
        <n v="7.9"/>
        <n v="2.9"/>
        <n v="3.5"/>
        <n v="4.9"/>
        <n v="6.6"/>
        <n v="9.8"/>
        <n v="9.0"/>
        <n v="1.9"/>
        <n v="5.4"/>
        <n v="9.2"/>
        <n v="2.4"/>
        <n v="3.4"/>
        <n v="7.4"/>
        <n v="4.4"/>
        <n v="4.1"/>
        <n v="2.1"/>
        <n v="9.3"/>
        <n v="3.6"/>
        <n v="8.9"/>
        <n v="2.0"/>
        <n v="9.5"/>
        <n v="9.4"/>
        <n v="2.3"/>
        <n v="9.9"/>
        <n v="8.0"/>
        <n v="8.2"/>
        <n v="8.3"/>
        <n v="1.4"/>
        <n v="8.8"/>
        <n v="2.5"/>
        <n v="3.2"/>
        <n v="8.1"/>
        <n v="2.2"/>
        <n v="9.7"/>
      </sharedItems>
    </cacheField>
    <cacheField name="stipend" numFmtId="165">
      <sharedItems>
        <s v="₹1,500.00"/>
        <s v="₹1,200.00"/>
        <s v="₹1,000.00"/>
      </sharedItems>
    </cacheField>
    <cacheField name="projects_completed" numFmtId="0">
      <sharedItems containsSemiMixedTypes="0" containsString="0" containsNumber="1" containsInteger="1">
        <n v="2.0"/>
        <n v="3.0"/>
        <n v="5.0"/>
        <n v="1.0"/>
        <n v="4.0"/>
      </sharedItems>
    </cacheField>
    <cacheField name="late_submissions" numFmtId="0">
      <sharedItems containsSemiMixedTypes="0" containsString="0" containsNumber="1" containsInteger="1">
        <n v="2.0"/>
        <n v="3.0"/>
        <n v="0.0"/>
        <n v="1.0"/>
        <n v="4.0"/>
        <n v="7.0"/>
        <n v="5.0"/>
        <n v="8.0"/>
        <n v="6.0"/>
      </sharedItems>
    </cacheField>
    <cacheField name="learning_hours" numFmtId="0">
      <sharedItems containsSemiMixedTypes="0" containsString="0" containsNumber="1" containsInteger="1">
        <n v="44.0"/>
        <n v="50.0"/>
        <n v="22.0"/>
        <n v="13.0"/>
        <n v="42.0"/>
        <n v="38.0"/>
        <n v="14.0"/>
        <n v="33.0"/>
        <n v="49.0"/>
        <n v="21.0"/>
        <n v="25.0"/>
        <n v="36.0"/>
        <n v="20.0"/>
        <n v="40.0"/>
        <n v="29.0"/>
        <n v="24.0"/>
        <n v="32.0"/>
        <n v="34.0"/>
        <n v="31.0"/>
        <n v="26.0"/>
        <n v="12.0"/>
        <n v="11.0"/>
        <n v="28.0"/>
        <n v="48.0"/>
        <n v="27.0"/>
        <n v="47.0"/>
        <n v="35.0"/>
        <n v="16.0"/>
        <n v="37.0"/>
        <n v="19.0"/>
        <n v="41.0"/>
        <n v="39.0"/>
        <n v="43.0"/>
        <n v="10.0"/>
        <n v="45.0"/>
        <n v="23.0"/>
        <n v="30.0"/>
        <n v="18.0"/>
        <n v="46.0"/>
        <n v="17.0"/>
        <n v="15.0"/>
      </sharedItems>
    </cacheField>
    <cacheField name="last_evaluation" numFmtId="10">
      <sharedItems containsSemiMixedTypes="0" containsString="0" containsNumber="1">
        <n v="0.6535"/>
        <n v="0.5194"/>
        <n v="0.6419"/>
        <n v="0.5249"/>
        <n v="0.8039"/>
        <n v="0.9158"/>
        <n v="0.489"/>
        <n v="0.7875"/>
        <n v="0.7155"/>
        <n v="0.7532"/>
        <n v="0.4601"/>
        <n v="0.5548"/>
        <n v="0.7971"/>
        <n v="0.4568"/>
        <n v="0.7528"/>
        <n v="0.318"/>
        <n v="0.4753"/>
        <n v="0.7789"/>
        <n v="0.5389"/>
        <n v="0.8226"/>
        <n v="0.5344"/>
        <n v="0.7321"/>
        <n v="0.3928"/>
        <n v="0.7536"/>
        <n v="0.5174"/>
        <n v="0.2858"/>
        <n v="0.422"/>
        <n v="0.5827"/>
        <n v="0.7812"/>
        <n v="0.4641"/>
        <n v="0.4329"/>
        <n v="0.5643"/>
        <n v="0.7306"/>
        <n v="0.7088"/>
        <n v="0.6185"/>
        <n v="0.9265"/>
        <n v="0.7504"/>
        <n v="0.5987"/>
        <n v="0.5929"/>
        <n v="0.4484"/>
        <n v="0.5678"/>
        <n v="0.0659"/>
        <n v="0.6912"/>
        <n v="0.307"/>
        <n v="0.3086"/>
        <n v="0.5281"/>
        <n v="0.5326"/>
        <n v="0.8024"/>
        <n v="0.448"/>
        <n v="0.829"/>
        <n v="0.3601"/>
        <n v="0.6872"/>
        <n v="0.3345"/>
        <n v="0.9038"/>
        <n v="0.4963"/>
        <n v="0.6005"/>
        <n v="0.4714"/>
        <n v="0.6978"/>
        <n v="0.8037"/>
        <n v="0.4616"/>
        <n v="0.3135"/>
        <n v="0.4782"/>
        <n v="0.752"/>
        <n v="0.5691"/>
        <n v="0.536"/>
        <n v="0.7827"/>
        <n v="0.3616"/>
        <n v="0.4921"/>
        <n v="0.4705"/>
        <n v="0.6903"/>
        <n v="0.4142"/>
        <n v="0.3822"/>
        <n v="0.7905"/>
        <n v="0.965"/>
        <n v="0.7793"/>
        <n v="0.5697"/>
        <n v="0.6292"/>
        <n v="0.7071"/>
        <n v="0.7222"/>
        <n v="0.5685"/>
        <n v="0.78"/>
        <n v="0.4799"/>
        <n v="0.5398"/>
        <n v="0.2388"/>
        <n v="0.5422"/>
        <n v="0.5122"/>
        <n v="0.4555"/>
        <n v="0.3955"/>
        <n v="0.5744"/>
        <n v="0.5459"/>
        <n v="0.6214"/>
        <n v="0.8699"/>
        <n v="0.6852"/>
        <n v="0.7076"/>
        <n v="0.2714"/>
        <n v="0.4038"/>
        <n v="0.548"/>
        <n v="0.4804"/>
        <n v="0.3874"/>
        <n v="0.8773"/>
        <n v="0.5795"/>
        <n v="0.5308"/>
        <n v="0.3085"/>
        <n v="0.3823"/>
        <n v="0.4085"/>
        <n v="0.639"/>
        <n v="0.4187"/>
        <n v="0.5098"/>
        <n v="0.8375"/>
        <n v="0.182"/>
        <n v="0.5155"/>
        <n v="0.8044"/>
        <n v="0.5183"/>
        <n v="0.6105"/>
        <n v="0.2802"/>
        <n v="0.7441"/>
        <n v="0.3361"/>
        <n v="0.7191"/>
        <n v="0.6412"/>
        <n v="0.4595"/>
        <n v="0.8488"/>
        <n v="0.4597"/>
        <n v="0.723"/>
        <n v="0.174"/>
        <n v="0.7062"/>
        <n v="0.8991"/>
        <n v="0.7523"/>
        <n v="0.55"/>
        <n v="0.542"/>
        <n v="0.4818"/>
        <n v="0.848"/>
        <n v="0.5584"/>
        <n v="0.7511"/>
        <n v="0.2638"/>
        <n v="0.3075"/>
        <n v="0.6488"/>
        <n v="0.3426"/>
        <n v="0.9"/>
        <n v="0.3739"/>
        <n v="0.7836"/>
        <n v="0.5284"/>
        <n v="0.5518"/>
        <n v="0.7625"/>
        <n v="0.4768"/>
        <n v="0.3068"/>
        <n v="0.4803"/>
        <n v="0.6087"/>
        <n v="0.6482"/>
        <n v="0.5821"/>
        <n v="0.4849"/>
        <n v="0.3342"/>
        <n v="0.7448"/>
        <n v="0.5342"/>
        <n v="0.4964"/>
        <n v="0.6493"/>
        <n v="0.9085"/>
        <n v="0.3676"/>
        <n v="0.7533"/>
        <n v="0.4079"/>
        <n v="0.9105"/>
        <n v="0.2854"/>
        <n v="0.8853"/>
        <n v="0.9459"/>
        <n v="0.5232"/>
        <n v="0.7944"/>
        <n v="0.5663"/>
        <n v="0.5075"/>
        <n v="0.6947"/>
        <n v="0.4267"/>
        <n v="0.715"/>
        <n v="0.8085"/>
        <n v="0.3561"/>
        <n v="0.8145"/>
        <n v="0.853"/>
        <n v="0.5777"/>
        <n v="0.6233"/>
        <n v="0.4645"/>
        <n v="0.5509"/>
        <n v="0.5092"/>
        <n v="0.7561"/>
        <n v="0.7311"/>
        <n v="0.7491"/>
        <n v="0.6195"/>
        <n v="0.7189"/>
        <n v="0.6716"/>
        <n v="0.9551"/>
        <n v="0.9126"/>
        <n v="0.7349"/>
        <n v="0.6924"/>
        <n v="0.3904"/>
        <n v="0.4303"/>
        <n v="0.4676"/>
        <n v="0.2991"/>
        <n v="0.791"/>
        <n v="0.6596"/>
        <n v="0.5876"/>
        <n v="0.5942"/>
        <n v="0.6768"/>
        <n v="0.5507"/>
        <n v="0.5455"/>
        <n v="0.5526"/>
        <n v="0.7168"/>
        <n v="0.3453"/>
        <n v="0.311"/>
        <n v="0.2128"/>
        <n v="0.6188"/>
        <n v="0.2907"/>
        <n v="0.3124"/>
        <n v="0.7223"/>
        <n v="0.5919"/>
        <n v="0.7745"/>
        <n v="0.8407"/>
        <n v="0.407"/>
        <n v="0.5813"/>
        <n v="0.7683"/>
        <n v="0.2934"/>
        <n v="0.4483"/>
        <n v="0.603"/>
        <n v="0.3123"/>
        <n v="0.1839"/>
        <n v="0.7439"/>
        <n v="0.6917"/>
        <n v="0.5311"/>
        <n v="0.5728"/>
        <n v="0.4579"/>
        <n v="0.1163"/>
        <n v="0.591"/>
        <n v="0.7257"/>
        <n v="0.9549"/>
        <n v="1.0"/>
        <n v="0.993"/>
        <n v="0.3845"/>
        <n v="0.6646"/>
        <n v="0.8348"/>
        <n v="0.5846"/>
        <n v="0.8023"/>
        <n v="0.3877"/>
        <n v="0.8471"/>
        <n v="0.9424"/>
        <n v="0.9469"/>
        <n v="0.484"/>
        <n v="0.9981"/>
        <n v="0.8124"/>
        <n v="0.5641"/>
        <n v="0.2139"/>
        <n v="0.7524"/>
        <n v="0.2337"/>
        <n v="0.5334"/>
        <n v="0.8836"/>
        <n v="0.2599"/>
        <n v="0.9204"/>
        <n v="0.4971"/>
        <n v="0.5969"/>
        <n v="0.8985"/>
        <n v="0.3004"/>
        <n v="0.8216"/>
        <n v="0.8028"/>
        <n v="0.6372"/>
        <n v="0.8106"/>
        <n v="0.2425"/>
        <n v="0.6364"/>
        <n v="0.8318"/>
        <n v="0.7074"/>
        <n v="0.8185"/>
        <n v="0.3534"/>
        <n v="0.6968"/>
        <n v="0.6314"/>
        <n v="0.8315"/>
        <n v="0.4218"/>
        <n v="0.6462"/>
        <n v="0.7421"/>
        <n v="0.2217"/>
        <n v="0.5266"/>
        <n v="0.5258"/>
        <n v="0.6255"/>
        <n v="0.21"/>
        <n v="0.4847"/>
        <n v="0.7249"/>
        <n v="0.5562"/>
        <n v="0.9456"/>
        <n v="0.4856"/>
        <n v="0.6629"/>
        <n v="0.3806"/>
        <n v="0.2567"/>
        <n v="0.3356"/>
        <n v="0.4131"/>
        <n v="0.4439"/>
        <n v="0.711"/>
        <n v="0.7398"/>
        <n v="0.7293"/>
        <n v="0.5668"/>
        <n v="0.9009"/>
      </sharedItems>
    </cacheField>
    <cacheField name="average_montly_hours" numFmtId="0">
      <sharedItems containsSemiMixedTypes="0" containsString="0" containsNumber="1" containsInteger="1">
        <n v="157.0"/>
        <n v="174.0"/>
        <n v="154.0"/>
        <n v="172.0"/>
        <n v="160.0"/>
        <n v="197.0"/>
        <n v="134.0"/>
        <n v="181.0"/>
        <n v="178.0"/>
        <n v="120.0"/>
        <n v="130.0"/>
        <n v="152.0"/>
        <n v="179.0"/>
        <n v="133.0"/>
        <n v="140.0"/>
        <n v="165.0"/>
        <n v="169.0"/>
        <n v="127.0"/>
        <n v="182.0"/>
        <n v="158.0"/>
        <n v="143.0"/>
        <n v="145.0"/>
        <n v="168.0"/>
        <n v="188.0"/>
        <n v="132.0"/>
        <n v="123.0"/>
        <n v="138.0"/>
        <n v="155.0"/>
        <n v="193.0"/>
        <n v="162.0"/>
        <n v="170.0"/>
        <n v="147.0"/>
        <n v="153.0"/>
        <n v="176.0"/>
        <n v="128.0"/>
        <n v="148.0"/>
        <n v="171.0"/>
        <n v="139.0"/>
        <n v="191.0"/>
        <n v="159.0"/>
        <n v="136.0"/>
        <n v="177.0"/>
        <n v="146.0"/>
        <n v="184.0"/>
        <n v="141.0"/>
        <n v="199.0"/>
        <n v="126.0"/>
        <n v="161.0"/>
        <n v="135.0"/>
        <n v="186.0"/>
        <n v="167.0"/>
        <n v="196.0"/>
        <n v="164.0"/>
        <n v="185.0"/>
        <n v="183.0"/>
        <n v="131.0"/>
        <n v="156.0"/>
        <n v="142.0"/>
        <n v="166.0"/>
        <n v="163.0"/>
        <n v="194.0"/>
        <n v="200.0"/>
        <n v="192.0"/>
        <n v="125.0"/>
        <n v="129.0"/>
        <n v="124.0"/>
        <n v="151.0"/>
        <n v="198.0"/>
        <n v="190.0"/>
        <n v="187.0"/>
        <n v="180.0"/>
        <n v="173.0"/>
        <n v="122.0"/>
        <n v="144.0"/>
        <n v="121.0"/>
        <n v="195.0"/>
        <n v="150.0"/>
        <n v="189.0"/>
        <n v="149.0"/>
      </sharedItems>
    </cacheField>
    <cacheField name="intern_duration_inDays" numFmtId="0">
      <sharedItems containsSemiMixedTypes="0" containsString="0" containsNumber="1" containsInteger="1">
        <n v="82.0"/>
        <n v="76.0"/>
        <n v="90.0"/>
        <n v="45.0"/>
        <n v="88.0"/>
        <n v="64.0"/>
        <n v="66.0"/>
        <n v="84.0"/>
        <n v="73.0"/>
        <n v="83.0"/>
        <n v="63.0"/>
        <n v="36.0"/>
        <n v="62.0"/>
        <n v="56.0"/>
        <n v="71.0"/>
        <n v="41.0"/>
        <n v="89.0"/>
        <n v="59.0"/>
        <n v="55.0"/>
        <n v="31.0"/>
        <n v="38.0"/>
        <n v="54.0"/>
        <n v="87.0"/>
        <n v="67.0"/>
        <n v="49.0"/>
        <n v="57.0"/>
        <n v="58.0"/>
        <n v="61.0"/>
        <n v="74.0"/>
        <n v="85.0"/>
        <n v="65.0"/>
        <n v="35.0"/>
        <n v="81.0"/>
        <n v="60.0"/>
        <n v="72.0"/>
        <n v="33.0"/>
        <n v="30.0"/>
        <n v="47.0"/>
        <n v="51.0"/>
        <n v="48.0"/>
        <n v="80.0"/>
        <n v="32.0"/>
        <n v="78.0"/>
        <n v="46.0"/>
        <n v="79.0"/>
        <n v="75.0"/>
        <n v="52.0"/>
        <n v="37.0"/>
        <n v="39.0"/>
        <n v="44.0"/>
        <n v="68.0"/>
        <n v="40.0"/>
        <n v="50.0"/>
        <n v="69.0"/>
        <n v="70.0"/>
        <n v="53.0"/>
        <n v="77.0"/>
        <n v="42.0"/>
        <n v="86.0"/>
        <n v="34.0"/>
        <n v="43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B6" sheet="Chart1 Average Performance Scor"/>
  </cacheSource>
  <cacheFields>
    <cacheField name="Department" numFmtId="0">
      <sharedItems>
        <s v="Data Science"/>
        <s v="Dev"/>
        <s v="HR"/>
      </sharedItems>
    </cacheField>
    <cacheField name="Avg Performance Score" numFmtId="0">
      <sharedItems containsSemiMixedTypes="0" containsString="0" containsNumber="1">
        <n v="7.62"/>
        <n v="7.57"/>
        <n v="7.37"/>
      </sharedItems>
    </cacheField>
    <cacheField name="Avg Learning Hours" formula="AVERAGEIF(Sheet1!C:C, &quot;Data Science&quot;, Sheet1!O:O)" databaseField="0"/>
    <cacheField name="Correlation" formula="CORREL(Sheet1!O:O, Sheet1!J:J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F1:M5" firstHeaderRow="0" firstDataRow="2" firstDataCol="0"/>
  <pivotFields>
    <pivotField name="inter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department" axis="axisRow" compact="0" outline="0" multipleItemSelectionAllowed="1" showAll="0" sortType="ascending">
      <items>
        <item x="0"/>
        <item x="1"/>
        <item x="2"/>
        <item t="default"/>
      </items>
    </pivotField>
    <pivotField name="start_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nd_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tasks_assig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asks_comple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vg_task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attendance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performance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feedbac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stipend" dataField="1" compact="0" numFmtId="165" outline="0" multipleItemSelectionAllowed="1" showAll="0">
      <items>
        <item x="0"/>
        <item x="1"/>
        <item x="2"/>
        <item t="default"/>
      </items>
    </pivotField>
    <pivotField name="projects_completed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ate_submi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earning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last_evaluati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average_montly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intern_duration_i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</pivotFields>
  <rowFields>
    <field x="2"/>
  </rowFields>
  <colFields>
    <field x="-2"/>
  </colFields>
  <dataFields>
    <dataField name="COUNTA of intern_id" fld="0" subtotal="count" baseField="0"/>
    <dataField name="SUM of tasks_completed" fld="6" showDataAs="percentOfRow" baseField="0" numFmtId="10"/>
    <dataField name="AVERAGE of attendance_rate" fld="8" subtotal="average" baseField="0"/>
    <dataField name="AVERAGE of performance_score" fld="9" subtotal="average" baseField="0"/>
    <dataField name="AVERAGE of stipend" fld="11" subtotal="average" baseField="0"/>
    <dataField name="COUNT of projects_completed" fld="12" subtotal="countNums" baseField="0"/>
    <dataField name="COUNT of late_submissions" fld="13" subtotal="countNums" showDataAs="percentOfTotal" baseField="0" numFmtId="10"/>
  </dataFields>
</pivotTableDefinition>
</file>

<file path=xl/pivotTables/pivotTable2.xml><?xml version="1.0" encoding="utf-8"?>
<pivotTableDefinition xmlns="http://schemas.openxmlformats.org/spreadsheetml/2006/main" name="Sheet2 2" cacheId="1" dataCaption="" compact="0" compactData="0">
  <location ref="A37:D41" firstHeaderRow="0" firstDataRow="2" firstDataCol="0"/>
  <pivotFields>
    <pivotField name="Department" axis="axisRow" compact="0" outline="0" multipleItemSelectionAllowed="1" showAll="0" sortType="ascending">
      <items>
        <item x="0"/>
        <item x="1"/>
        <item x="2"/>
        <item t="default"/>
      </items>
    </pivotField>
    <pivotField name="Avg Performance Score" dataField="1" compact="0" outline="0" multipleItemSelectionAllowed="1" showAll="0">
      <items>
        <item x="0"/>
        <item x="1"/>
        <item x="2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Avg Performance Score" fld="1" baseField="0"/>
    <dataField name="SUM of Avg Learning Hours" fld="2" baseField="0"/>
    <dataField name="SUM of Correlation" fld="3" baseField="0"/>
  </dataFields>
</pivotTableDefinition>
</file>

<file path=xl/tables/table1.xml><?xml version="1.0" encoding="utf-8"?>
<table xmlns="http://schemas.openxmlformats.org/spreadsheetml/2006/main" headerRowCount="0" ref="A1:Y1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E4" displayName="Department_Performance" name="Department_Performance" id="2">
  <tableColumns count="5">
    <tableColumn name="Department" id="1"/>
    <tableColumn name="Avg Performance Score" id="2"/>
    <tableColumn name="Avg Feedback Score" id="3"/>
    <tableColumn name="Avg Task Completion Rate" id="4"/>
    <tableColumn name="Avg Learning Hours" id="5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A6:E16" displayName="Top__10_Interns" name="Top__10_Interns" id="3">
  <tableColumns count="5">
    <tableColumn name="Name" id="1"/>
    <tableColumn name="Department" id="2"/>
    <tableColumn name="Performance Score" id="3"/>
    <tableColumn name="Feedback Score" id="4"/>
    <tableColumn name="Task Completion Rate" id="5"/>
  </tableColumns>
  <tableStyleInfo name="Sheet2-style 2" showColumnStripes="0" showFirstColumn="1" showLastColumn="1" showRowStripes="1"/>
</table>
</file>

<file path=xl/tables/table4.xml><?xml version="1.0" encoding="utf-8"?>
<table xmlns="http://schemas.openxmlformats.org/spreadsheetml/2006/main" ref="L14:M17" displayName="Table1" name="Table1" id="4">
  <tableColumns count="2">
    <tableColumn name="Department" id="1"/>
    <tableColumn name="Avg Performance Score" id="2"/>
  </tableColumns>
  <tableStyleInfo name="Sheet2-style 3" showColumnStripes="0" showFirstColumn="1" showLastColumn="1" showRowStripes="1"/>
</table>
</file>

<file path=xl/tables/table5.xml><?xml version="1.0" encoding="utf-8"?>
<table xmlns="http://schemas.openxmlformats.org/spreadsheetml/2006/main" ref="A18:E28" displayName="Lowest_Performance" name="Lowest_Performance" id="5">
  <tableColumns count="5">
    <tableColumn name="Name" id="1"/>
    <tableColumn name="Department" id="2"/>
    <tableColumn name="Performance Score" id="3"/>
    <tableColumn name="Feedback Score" id="4"/>
    <tableColumn name="Task Completion Rate (%)" id="5"/>
  </tableColumns>
  <tableStyleInfo name="Sheet2-style 4" showColumnStripes="0" showFirstColumn="1" showLastColumn="1" showRowStripes="1"/>
</table>
</file>

<file path=xl/tables/table6.xml><?xml version="1.0" encoding="utf-8"?>
<table xmlns="http://schemas.openxmlformats.org/spreadsheetml/2006/main" ref="C31:D34" displayName="Table2" name="Table2" id="6">
  <tableColumns count="2">
    <tableColumn name="Trends" id="1"/>
    <tableColumn name="Trend Analysis (Correlations)" id="2"/>
  </tableColumns>
  <tableStyleInfo name="Sheet2-style 5" showColumnStripes="0" showFirstColumn="1" showLastColumn="1" showRowStripes="1"/>
</table>
</file>

<file path=xl/tables/table7.xml><?xml version="1.0" encoding="utf-8"?>
<table xmlns="http://schemas.openxmlformats.org/spreadsheetml/2006/main" ref="A3:B6" displayName="Average_Performance_Score_by_Department" name="Average_Performance_Score_by_Department" id="7">
  <tableColumns count="2">
    <tableColumn name="Department" id="1"/>
    <tableColumn name="Avg Performance Score" id="2"/>
  </tableColumns>
  <tableStyleInfo name="Chart1 Average Performance Sc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8" max="18" width="2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3" t="s">
        <v>18</v>
      </c>
      <c r="T1" s="5" t="s">
        <v>19</v>
      </c>
    </row>
    <row r="2">
      <c r="A2" s="1" t="s">
        <v>20</v>
      </c>
      <c r="B2" s="1" t="s">
        <v>21</v>
      </c>
      <c r="C2" s="1" t="s">
        <v>22</v>
      </c>
      <c r="D2" s="6">
        <v>45810.0</v>
      </c>
      <c r="E2" s="7">
        <v>45892.0</v>
      </c>
      <c r="F2" s="8">
        <v>28.0</v>
      </c>
      <c r="G2" s="8">
        <v>18.0</v>
      </c>
      <c r="H2" s="8">
        <v>4.0</v>
      </c>
      <c r="I2" s="9">
        <v>0.7498</v>
      </c>
      <c r="J2" s="8">
        <v>7.0</v>
      </c>
      <c r="K2" s="8">
        <v>7.3</v>
      </c>
      <c r="L2" s="4" t="s">
        <v>23</v>
      </c>
      <c r="M2" s="8">
        <v>2.0</v>
      </c>
      <c r="N2" s="8">
        <v>2.0</v>
      </c>
      <c r="O2" s="8">
        <v>44.0</v>
      </c>
      <c r="P2" s="9">
        <v>0.6535</v>
      </c>
      <c r="Q2" s="8">
        <v>157.0</v>
      </c>
      <c r="R2" s="10">
        <v>82.0</v>
      </c>
      <c r="S2" s="9">
        <v>0.6429</v>
      </c>
      <c r="T2" s="11">
        <v>8.04</v>
      </c>
    </row>
    <row r="3">
      <c r="A3" s="1" t="s">
        <v>24</v>
      </c>
      <c r="B3" s="1" t="s">
        <v>25</v>
      </c>
      <c r="C3" s="1" t="s">
        <v>22</v>
      </c>
      <c r="D3" s="7">
        <v>45838.0</v>
      </c>
      <c r="E3" s="7">
        <v>45914.0</v>
      </c>
      <c r="F3" s="8">
        <v>34.0</v>
      </c>
      <c r="G3" s="8">
        <v>18.0</v>
      </c>
      <c r="H3" s="8">
        <v>2.3</v>
      </c>
      <c r="I3" s="9">
        <v>0.6003</v>
      </c>
      <c r="J3" s="8">
        <v>5.9</v>
      </c>
      <c r="K3" s="8">
        <v>5.3</v>
      </c>
      <c r="L3" s="4" t="s">
        <v>23</v>
      </c>
      <c r="M3" s="8">
        <v>3.0</v>
      </c>
      <c r="N3" s="8">
        <v>2.0</v>
      </c>
      <c r="O3" s="8">
        <v>50.0</v>
      </c>
      <c r="P3" s="9">
        <v>0.5194</v>
      </c>
      <c r="Q3" s="8">
        <v>174.0</v>
      </c>
      <c r="R3" s="10">
        <v>76.0</v>
      </c>
      <c r="S3" s="9">
        <v>0.5294</v>
      </c>
      <c r="T3" s="11">
        <v>10.0</v>
      </c>
    </row>
    <row r="4">
      <c r="A4" s="1" t="s">
        <v>26</v>
      </c>
      <c r="B4" s="1" t="s">
        <v>27</v>
      </c>
      <c r="C4" s="1" t="s">
        <v>28</v>
      </c>
      <c r="D4" s="6">
        <v>45816.0</v>
      </c>
      <c r="E4" s="6">
        <v>45906.0</v>
      </c>
      <c r="F4" s="8">
        <v>34.0</v>
      </c>
      <c r="G4" s="8">
        <v>28.0</v>
      </c>
      <c r="H4" s="8">
        <v>7.2</v>
      </c>
      <c r="I4" s="9">
        <v>0.9933</v>
      </c>
      <c r="J4" s="8">
        <v>6.5</v>
      </c>
      <c r="K4" s="8">
        <v>5.8</v>
      </c>
      <c r="L4" s="4" t="s">
        <v>29</v>
      </c>
      <c r="M4" s="8">
        <v>5.0</v>
      </c>
      <c r="N4" s="8">
        <v>3.0</v>
      </c>
      <c r="O4" s="8">
        <v>22.0</v>
      </c>
      <c r="P4" s="9">
        <v>0.6419</v>
      </c>
      <c r="Q4" s="8">
        <v>154.0</v>
      </c>
      <c r="R4" s="10">
        <v>90.0</v>
      </c>
      <c r="S4" s="9">
        <v>0.8235</v>
      </c>
      <c r="T4" s="11">
        <v>5.72</v>
      </c>
    </row>
    <row r="5">
      <c r="A5" s="1" t="s">
        <v>30</v>
      </c>
      <c r="B5" s="1" t="s">
        <v>31</v>
      </c>
      <c r="C5" s="1" t="s">
        <v>32</v>
      </c>
      <c r="D5" s="7">
        <v>45821.0</v>
      </c>
      <c r="E5" s="7">
        <v>45866.0</v>
      </c>
      <c r="F5" s="8">
        <v>13.0</v>
      </c>
      <c r="G5" s="8">
        <v>10.0</v>
      </c>
      <c r="H5" s="8">
        <v>9.3</v>
      </c>
      <c r="I5" s="9">
        <v>0.9637</v>
      </c>
      <c r="J5" s="8">
        <v>5.4</v>
      </c>
      <c r="K5" s="8">
        <v>5.3</v>
      </c>
      <c r="L5" s="4" t="s">
        <v>33</v>
      </c>
      <c r="M5" s="8">
        <v>1.0</v>
      </c>
      <c r="N5" s="8">
        <v>3.0</v>
      </c>
      <c r="O5" s="8">
        <v>13.0</v>
      </c>
      <c r="P5" s="9">
        <v>0.5249</v>
      </c>
      <c r="Q5" s="8">
        <v>172.0</v>
      </c>
      <c r="R5" s="10">
        <v>45.0</v>
      </c>
      <c r="S5" s="9">
        <v>0.7692</v>
      </c>
      <c r="T5" s="11">
        <v>4.14</v>
      </c>
    </row>
    <row r="6">
      <c r="A6" s="1" t="s">
        <v>34</v>
      </c>
      <c r="B6" s="1" t="s">
        <v>35</v>
      </c>
      <c r="C6" s="1" t="s">
        <v>22</v>
      </c>
      <c r="D6" s="6">
        <v>45813.0</v>
      </c>
      <c r="E6" s="6">
        <v>45901.0</v>
      </c>
      <c r="F6" s="8">
        <v>24.0</v>
      </c>
      <c r="G6" s="8">
        <v>16.0</v>
      </c>
      <c r="H6" s="8">
        <v>3.6</v>
      </c>
      <c r="I6" s="9">
        <v>0.8347</v>
      </c>
      <c r="J6" s="8">
        <v>7.7</v>
      </c>
      <c r="K6" s="8">
        <v>8.4</v>
      </c>
      <c r="L6" s="4" t="s">
        <v>23</v>
      </c>
      <c r="M6" s="8">
        <v>2.0</v>
      </c>
      <c r="N6" s="8">
        <v>0.0</v>
      </c>
      <c r="O6" s="8">
        <v>42.0</v>
      </c>
      <c r="P6" s="9">
        <v>0.8039</v>
      </c>
      <c r="Q6" s="8">
        <v>160.0</v>
      </c>
      <c r="R6" s="10">
        <v>88.0</v>
      </c>
      <c r="S6" s="9">
        <v>0.6667</v>
      </c>
      <c r="T6" s="11">
        <v>9.26</v>
      </c>
    </row>
    <row r="7">
      <c r="A7" s="1" t="s">
        <v>36</v>
      </c>
      <c r="B7" s="1" t="s">
        <v>37</v>
      </c>
      <c r="C7" s="1" t="s">
        <v>22</v>
      </c>
      <c r="D7" s="6">
        <v>45813.0</v>
      </c>
      <c r="E7" s="6">
        <v>45877.0</v>
      </c>
      <c r="F7" s="8">
        <v>32.0</v>
      </c>
      <c r="G7" s="8">
        <v>30.0</v>
      </c>
      <c r="H7" s="8">
        <v>6.3</v>
      </c>
      <c r="I7" s="9">
        <v>0.966</v>
      </c>
      <c r="J7" s="8">
        <v>10.0</v>
      </c>
      <c r="K7" s="8">
        <v>10.0</v>
      </c>
      <c r="L7" s="4" t="s">
        <v>23</v>
      </c>
      <c r="M7" s="8">
        <v>5.0</v>
      </c>
      <c r="N7" s="8">
        <v>1.0</v>
      </c>
      <c r="O7" s="8">
        <v>38.0</v>
      </c>
      <c r="P7" s="9">
        <v>0.9158</v>
      </c>
      <c r="Q7" s="8">
        <v>197.0</v>
      </c>
      <c r="R7" s="10">
        <v>64.0</v>
      </c>
      <c r="S7" s="9">
        <v>0.9375</v>
      </c>
      <c r="T7" s="11">
        <v>7.44</v>
      </c>
    </row>
    <row r="8">
      <c r="A8" s="1" t="s">
        <v>38</v>
      </c>
      <c r="B8" s="1" t="s">
        <v>39</v>
      </c>
      <c r="C8" s="1" t="s">
        <v>32</v>
      </c>
      <c r="D8" s="7">
        <v>45831.0</v>
      </c>
      <c r="E8" s="7">
        <v>45897.0</v>
      </c>
      <c r="F8" s="8">
        <v>22.0</v>
      </c>
      <c r="G8" s="8">
        <v>17.0</v>
      </c>
      <c r="H8" s="8">
        <v>5.3</v>
      </c>
      <c r="I8" s="9">
        <v>0.9396</v>
      </c>
      <c r="J8" s="8">
        <v>4.6</v>
      </c>
      <c r="K8" s="8">
        <v>5.9</v>
      </c>
      <c r="L8" s="4" t="s">
        <v>33</v>
      </c>
      <c r="M8" s="8">
        <v>3.0</v>
      </c>
      <c r="N8" s="8">
        <v>4.0</v>
      </c>
      <c r="O8" s="8">
        <v>14.0</v>
      </c>
      <c r="P8" s="9">
        <v>0.489</v>
      </c>
      <c r="Q8" s="8">
        <v>134.0</v>
      </c>
      <c r="R8" s="10">
        <v>66.0</v>
      </c>
      <c r="S8" s="9">
        <v>0.7727</v>
      </c>
      <c r="T8" s="11">
        <v>7.29</v>
      </c>
    </row>
    <row r="9">
      <c r="A9" s="1" t="s">
        <v>40</v>
      </c>
      <c r="B9" s="1" t="s">
        <v>41</v>
      </c>
      <c r="C9" s="1" t="s">
        <v>22</v>
      </c>
      <c r="D9" s="7">
        <v>45836.0</v>
      </c>
      <c r="E9" s="7">
        <v>45920.0</v>
      </c>
      <c r="F9" s="8">
        <v>15.0</v>
      </c>
      <c r="G9" s="8">
        <v>10.0</v>
      </c>
      <c r="H9" s="8">
        <v>4.7</v>
      </c>
      <c r="I9" s="9">
        <v>0.9022</v>
      </c>
      <c r="J9" s="8">
        <v>7.5</v>
      </c>
      <c r="K9" s="8">
        <v>7.3</v>
      </c>
      <c r="L9" s="4" t="s">
        <v>23</v>
      </c>
      <c r="M9" s="8">
        <v>1.0</v>
      </c>
      <c r="N9" s="8">
        <v>3.0</v>
      </c>
      <c r="O9" s="8">
        <v>33.0</v>
      </c>
      <c r="P9" s="9">
        <v>0.7875</v>
      </c>
      <c r="Q9" s="8">
        <v>181.0</v>
      </c>
      <c r="R9" s="10">
        <v>84.0</v>
      </c>
      <c r="S9" s="9">
        <v>0.6667</v>
      </c>
      <c r="T9" s="11">
        <v>7.09</v>
      </c>
    </row>
    <row r="10">
      <c r="A10" s="1" t="s">
        <v>42</v>
      </c>
      <c r="B10" s="1" t="s">
        <v>43</v>
      </c>
      <c r="C10" s="1" t="s">
        <v>22</v>
      </c>
      <c r="D10" s="7">
        <v>45832.0</v>
      </c>
      <c r="E10" s="6">
        <v>45905.0</v>
      </c>
      <c r="F10" s="8">
        <v>12.0</v>
      </c>
      <c r="G10" s="8">
        <v>7.0</v>
      </c>
      <c r="H10" s="8">
        <v>4.8</v>
      </c>
      <c r="I10" s="9">
        <v>0.644</v>
      </c>
      <c r="J10" s="8">
        <v>7.3</v>
      </c>
      <c r="K10" s="8">
        <v>7.0</v>
      </c>
      <c r="L10" s="4" t="s">
        <v>23</v>
      </c>
      <c r="M10" s="8">
        <v>2.0</v>
      </c>
      <c r="N10" s="8">
        <v>0.0</v>
      </c>
      <c r="O10" s="8">
        <v>49.0</v>
      </c>
      <c r="P10" s="9">
        <v>0.7155</v>
      </c>
      <c r="Q10" s="8">
        <v>178.0</v>
      </c>
      <c r="R10" s="10">
        <v>73.0</v>
      </c>
      <c r="S10" s="9">
        <v>0.5833</v>
      </c>
      <c r="T10" s="11">
        <v>6.08</v>
      </c>
    </row>
    <row r="11">
      <c r="A11" s="1" t="s">
        <v>44</v>
      </c>
      <c r="B11" s="1" t="s">
        <v>45</v>
      </c>
      <c r="C11" s="1" t="s">
        <v>22</v>
      </c>
      <c r="D11" s="7">
        <v>45831.0</v>
      </c>
      <c r="E11" s="7">
        <v>45914.0</v>
      </c>
      <c r="F11" s="8">
        <v>21.0</v>
      </c>
      <c r="G11" s="8">
        <v>13.0</v>
      </c>
      <c r="H11" s="8">
        <v>3.7</v>
      </c>
      <c r="I11" s="9">
        <v>0.7293</v>
      </c>
      <c r="J11" s="8">
        <v>6.3</v>
      </c>
      <c r="K11" s="8">
        <v>6.3</v>
      </c>
      <c r="L11" s="4" t="s">
        <v>23</v>
      </c>
      <c r="M11" s="8">
        <v>1.0</v>
      </c>
      <c r="N11" s="8">
        <v>1.0</v>
      </c>
      <c r="O11" s="8">
        <v>38.0</v>
      </c>
      <c r="P11" s="9">
        <v>0.7532</v>
      </c>
      <c r="Q11" s="8">
        <v>120.0</v>
      </c>
      <c r="R11" s="10">
        <v>83.0</v>
      </c>
      <c r="S11" s="9">
        <v>0.619</v>
      </c>
      <c r="T11" s="11">
        <v>8.37</v>
      </c>
    </row>
    <row r="12">
      <c r="A12" s="1" t="s">
        <v>46</v>
      </c>
      <c r="B12" s="1" t="s">
        <v>47</v>
      </c>
      <c r="C12" s="1" t="s">
        <v>28</v>
      </c>
      <c r="D12" s="6">
        <v>45814.0</v>
      </c>
      <c r="E12" s="6">
        <v>45877.0</v>
      </c>
      <c r="F12" s="8">
        <v>13.0</v>
      </c>
      <c r="G12" s="8">
        <v>7.0</v>
      </c>
      <c r="H12" s="8">
        <v>3.2</v>
      </c>
      <c r="I12" s="9">
        <v>0.6958</v>
      </c>
      <c r="J12" s="8">
        <v>3.9</v>
      </c>
      <c r="K12" s="8">
        <v>3.8</v>
      </c>
      <c r="L12" s="4" t="s">
        <v>29</v>
      </c>
      <c r="M12" s="8">
        <v>1.0</v>
      </c>
      <c r="N12" s="8">
        <v>2.0</v>
      </c>
      <c r="O12" s="8">
        <v>21.0</v>
      </c>
      <c r="P12" s="9">
        <v>0.4601</v>
      </c>
      <c r="Q12" s="8">
        <v>130.0</v>
      </c>
      <c r="R12" s="10">
        <v>63.0</v>
      </c>
      <c r="S12" s="9">
        <v>0.5385</v>
      </c>
      <c r="T12" s="11">
        <v>8.41</v>
      </c>
    </row>
    <row r="13">
      <c r="A13" s="1" t="s">
        <v>48</v>
      </c>
      <c r="B13" s="1" t="s">
        <v>49</v>
      </c>
      <c r="C13" s="1" t="s">
        <v>32</v>
      </c>
      <c r="D13" s="7">
        <v>45828.0</v>
      </c>
      <c r="E13" s="7">
        <v>45864.0</v>
      </c>
      <c r="F13" s="8">
        <v>29.0</v>
      </c>
      <c r="G13" s="8">
        <v>21.0</v>
      </c>
      <c r="H13" s="8">
        <v>7.4</v>
      </c>
      <c r="I13" s="9">
        <v>0.9266</v>
      </c>
      <c r="J13" s="8">
        <v>5.0</v>
      </c>
      <c r="K13" s="8">
        <v>4.6</v>
      </c>
      <c r="L13" s="4" t="s">
        <v>33</v>
      </c>
      <c r="M13" s="8">
        <v>2.0</v>
      </c>
      <c r="N13" s="8">
        <v>3.0</v>
      </c>
      <c r="O13" s="8">
        <v>25.0</v>
      </c>
      <c r="P13" s="9">
        <v>0.5548</v>
      </c>
      <c r="Q13" s="8">
        <v>152.0</v>
      </c>
      <c r="R13" s="10">
        <v>36.0</v>
      </c>
      <c r="S13" s="9">
        <v>0.7241</v>
      </c>
      <c r="T13" s="11">
        <v>4.89</v>
      </c>
    </row>
    <row r="14">
      <c r="A14" s="1" t="s">
        <v>50</v>
      </c>
      <c r="B14" s="1" t="s">
        <v>51</v>
      </c>
      <c r="C14" s="1" t="s">
        <v>22</v>
      </c>
      <c r="D14" s="7">
        <v>45834.0</v>
      </c>
      <c r="E14" s="7">
        <v>45879.0</v>
      </c>
      <c r="F14" s="8">
        <v>37.0</v>
      </c>
      <c r="G14" s="8">
        <v>24.0</v>
      </c>
      <c r="H14" s="8">
        <v>5.9</v>
      </c>
      <c r="I14" s="9">
        <v>0.759</v>
      </c>
      <c r="J14" s="8">
        <v>7.6</v>
      </c>
      <c r="K14" s="8">
        <v>6.9</v>
      </c>
      <c r="L14" s="4" t="s">
        <v>23</v>
      </c>
      <c r="M14" s="8">
        <v>2.0</v>
      </c>
      <c r="N14" s="8">
        <v>1.0</v>
      </c>
      <c r="O14" s="8">
        <v>36.0</v>
      </c>
      <c r="P14" s="9">
        <v>0.7971</v>
      </c>
      <c r="Q14" s="8">
        <v>179.0</v>
      </c>
      <c r="R14" s="10">
        <v>45.0</v>
      </c>
      <c r="S14" s="9">
        <v>0.6486</v>
      </c>
      <c r="T14" s="11">
        <v>5.5</v>
      </c>
    </row>
    <row r="15">
      <c r="A15" s="1" t="s">
        <v>52</v>
      </c>
      <c r="B15" s="1" t="s">
        <v>53</v>
      </c>
      <c r="C15" s="1" t="s">
        <v>28</v>
      </c>
      <c r="D15" s="6">
        <v>45811.0</v>
      </c>
      <c r="E15" s="7">
        <v>45856.0</v>
      </c>
      <c r="F15" s="8">
        <v>21.0</v>
      </c>
      <c r="G15" s="8">
        <v>15.0</v>
      </c>
      <c r="H15" s="8">
        <v>2.7</v>
      </c>
      <c r="I15" s="9">
        <v>0.7043</v>
      </c>
      <c r="J15" s="8">
        <v>5.1</v>
      </c>
      <c r="K15" s="8">
        <v>5.8</v>
      </c>
      <c r="L15" s="4" t="s">
        <v>29</v>
      </c>
      <c r="M15" s="8">
        <v>2.0</v>
      </c>
      <c r="N15" s="8">
        <v>0.0</v>
      </c>
      <c r="O15" s="8">
        <v>20.0</v>
      </c>
      <c r="P15" s="9">
        <v>0.4568</v>
      </c>
      <c r="Q15" s="8">
        <v>152.0</v>
      </c>
      <c r="R15" s="10">
        <v>45.0</v>
      </c>
      <c r="S15" s="9">
        <v>0.7143</v>
      </c>
      <c r="T15" s="11">
        <v>10.0</v>
      </c>
    </row>
    <row r="16">
      <c r="A16" s="1" t="s">
        <v>54</v>
      </c>
      <c r="B16" s="1" t="s">
        <v>55</v>
      </c>
      <c r="C16" s="1" t="s">
        <v>22</v>
      </c>
      <c r="D16" s="6">
        <v>45812.0</v>
      </c>
      <c r="E16" s="6">
        <v>45874.0</v>
      </c>
      <c r="F16" s="8">
        <v>34.0</v>
      </c>
      <c r="G16" s="8">
        <v>24.0</v>
      </c>
      <c r="H16" s="8">
        <v>7.2</v>
      </c>
      <c r="I16" s="9">
        <v>0.8568</v>
      </c>
      <c r="J16" s="8">
        <v>7.2</v>
      </c>
      <c r="K16" s="8">
        <v>6.4</v>
      </c>
      <c r="L16" s="4" t="s">
        <v>23</v>
      </c>
      <c r="M16" s="8">
        <v>2.0</v>
      </c>
      <c r="N16" s="8">
        <v>3.0</v>
      </c>
      <c r="O16" s="8">
        <v>40.0</v>
      </c>
      <c r="P16" s="9">
        <v>0.7528</v>
      </c>
      <c r="Q16" s="8">
        <v>133.0</v>
      </c>
      <c r="R16" s="10">
        <v>62.0</v>
      </c>
      <c r="S16" s="9">
        <v>0.7059</v>
      </c>
      <c r="T16" s="11">
        <v>4.9</v>
      </c>
    </row>
    <row r="17">
      <c r="A17" s="1" t="s">
        <v>56</v>
      </c>
      <c r="B17" s="1" t="s">
        <v>57</v>
      </c>
      <c r="C17" s="1" t="s">
        <v>32</v>
      </c>
      <c r="D17" s="7">
        <v>45835.0</v>
      </c>
      <c r="E17" s="7">
        <v>45891.0</v>
      </c>
      <c r="F17" s="8">
        <v>31.0</v>
      </c>
      <c r="G17" s="8">
        <v>16.0</v>
      </c>
      <c r="H17" s="8">
        <v>9.8</v>
      </c>
      <c r="I17" s="9">
        <v>0.7302</v>
      </c>
      <c r="J17" s="8">
        <v>3.3</v>
      </c>
      <c r="K17" s="8">
        <v>3.9</v>
      </c>
      <c r="L17" s="4" t="s">
        <v>33</v>
      </c>
      <c r="M17" s="8">
        <v>2.0</v>
      </c>
      <c r="N17" s="8">
        <v>4.0</v>
      </c>
      <c r="O17" s="8">
        <v>29.0</v>
      </c>
      <c r="P17" s="9">
        <v>0.318</v>
      </c>
      <c r="Q17" s="8">
        <v>140.0</v>
      </c>
      <c r="R17" s="10">
        <v>56.0</v>
      </c>
      <c r="S17" s="9">
        <v>0.5161</v>
      </c>
      <c r="T17" s="11">
        <v>2.63</v>
      </c>
    </row>
    <row r="18">
      <c r="A18" s="1" t="s">
        <v>58</v>
      </c>
      <c r="B18" s="1" t="s">
        <v>59</v>
      </c>
      <c r="C18" s="1" t="s">
        <v>32</v>
      </c>
      <c r="D18" s="7">
        <v>45832.0</v>
      </c>
      <c r="E18" s="7">
        <v>45898.0</v>
      </c>
      <c r="F18" s="8">
        <v>44.0</v>
      </c>
      <c r="G18" s="8">
        <v>29.0</v>
      </c>
      <c r="H18" s="8">
        <v>3.5</v>
      </c>
      <c r="I18" s="9">
        <v>0.8011</v>
      </c>
      <c r="J18" s="8">
        <v>4.5</v>
      </c>
      <c r="K18" s="8">
        <v>4.7</v>
      </c>
      <c r="L18" s="4" t="s">
        <v>33</v>
      </c>
      <c r="M18" s="8">
        <v>3.0</v>
      </c>
      <c r="N18" s="8">
        <v>3.0</v>
      </c>
      <c r="O18" s="8">
        <v>24.0</v>
      </c>
      <c r="P18" s="9">
        <v>0.4753</v>
      </c>
      <c r="Q18" s="8">
        <v>165.0</v>
      </c>
      <c r="R18" s="10">
        <v>66.0</v>
      </c>
      <c r="S18" s="9">
        <v>0.6591</v>
      </c>
      <c r="T18" s="11">
        <v>9.42</v>
      </c>
    </row>
    <row r="19">
      <c r="A19" s="1" t="s">
        <v>60</v>
      </c>
      <c r="B19" s="1" t="s">
        <v>61</v>
      </c>
      <c r="C19" s="1" t="s">
        <v>22</v>
      </c>
      <c r="D19" s="7">
        <v>45834.0</v>
      </c>
      <c r="E19" s="7">
        <v>45917.0</v>
      </c>
      <c r="F19" s="8">
        <v>30.0</v>
      </c>
      <c r="G19" s="8">
        <v>26.0</v>
      </c>
      <c r="H19" s="8">
        <v>5.4</v>
      </c>
      <c r="I19" s="9">
        <v>0.9867</v>
      </c>
      <c r="J19" s="8">
        <v>8.6</v>
      </c>
      <c r="K19" s="8">
        <v>7.7</v>
      </c>
      <c r="L19" s="4" t="s">
        <v>23</v>
      </c>
      <c r="M19" s="8">
        <v>4.0</v>
      </c>
      <c r="N19" s="8">
        <v>1.0</v>
      </c>
      <c r="O19" s="8">
        <v>32.0</v>
      </c>
      <c r="P19" s="9">
        <v>0.7789</v>
      </c>
      <c r="Q19" s="8">
        <v>165.0</v>
      </c>
      <c r="R19" s="10">
        <v>83.0</v>
      </c>
      <c r="S19" s="9">
        <v>0.8667</v>
      </c>
      <c r="T19" s="11">
        <v>8.02</v>
      </c>
    </row>
    <row r="20">
      <c r="A20" s="1" t="s">
        <v>62</v>
      </c>
      <c r="B20" s="1" t="s">
        <v>63</v>
      </c>
      <c r="C20" s="1" t="s">
        <v>28</v>
      </c>
      <c r="D20" s="7">
        <v>45831.0</v>
      </c>
      <c r="E20" s="6">
        <v>45902.0</v>
      </c>
      <c r="F20" s="8">
        <v>11.0</v>
      </c>
      <c r="G20" s="8">
        <v>6.0</v>
      </c>
      <c r="H20" s="8">
        <v>2.2</v>
      </c>
      <c r="I20" s="9">
        <v>0.6389</v>
      </c>
      <c r="J20" s="8">
        <v>4.5</v>
      </c>
      <c r="K20" s="8">
        <v>4.8</v>
      </c>
      <c r="L20" s="4" t="s">
        <v>29</v>
      </c>
      <c r="M20" s="8">
        <v>1.0</v>
      </c>
      <c r="N20" s="8">
        <v>2.0</v>
      </c>
      <c r="O20" s="8">
        <v>34.0</v>
      </c>
      <c r="P20" s="9">
        <v>0.5389</v>
      </c>
      <c r="Q20" s="8">
        <v>169.0</v>
      </c>
      <c r="R20" s="10">
        <v>71.0</v>
      </c>
      <c r="S20" s="9">
        <v>0.5455</v>
      </c>
      <c r="T20" s="11">
        <v>10.0</v>
      </c>
    </row>
    <row r="21">
      <c r="A21" s="1" t="s">
        <v>64</v>
      </c>
      <c r="B21" s="1" t="s">
        <v>65</v>
      </c>
      <c r="C21" s="1" t="s">
        <v>28</v>
      </c>
      <c r="D21" s="7">
        <v>45827.0</v>
      </c>
      <c r="E21" s="7">
        <v>45868.0</v>
      </c>
      <c r="F21" s="8">
        <v>16.0</v>
      </c>
      <c r="G21" s="8">
        <v>15.0</v>
      </c>
      <c r="H21" s="8">
        <v>6.8</v>
      </c>
      <c r="I21" s="9">
        <v>0.9468</v>
      </c>
      <c r="J21" s="8">
        <v>7.9</v>
      </c>
      <c r="K21" s="8">
        <v>8.6</v>
      </c>
      <c r="L21" s="4" t="s">
        <v>29</v>
      </c>
      <c r="M21" s="8">
        <v>3.0</v>
      </c>
      <c r="N21" s="8">
        <v>0.0</v>
      </c>
      <c r="O21" s="8">
        <v>32.0</v>
      </c>
      <c r="P21" s="9">
        <v>0.8226</v>
      </c>
      <c r="Q21" s="8">
        <v>134.0</v>
      </c>
      <c r="R21" s="10">
        <v>41.0</v>
      </c>
      <c r="S21" s="9">
        <v>0.9375</v>
      </c>
      <c r="T21" s="11">
        <v>6.89</v>
      </c>
    </row>
    <row r="22">
      <c r="A22" s="1" t="s">
        <v>66</v>
      </c>
      <c r="B22" s="1" t="s">
        <v>67</v>
      </c>
      <c r="C22" s="1" t="s">
        <v>28</v>
      </c>
      <c r="D22" s="6">
        <v>45813.0</v>
      </c>
      <c r="E22" s="6">
        <v>45902.0</v>
      </c>
      <c r="F22" s="8">
        <v>31.0</v>
      </c>
      <c r="G22" s="8">
        <v>19.0</v>
      </c>
      <c r="H22" s="8">
        <v>1.3</v>
      </c>
      <c r="I22" s="9">
        <v>0.7502</v>
      </c>
      <c r="J22" s="8">
        <v>4.8</v>
      </c>
      <c r="K22" s="8">
        <v>4.5</v>
      </c>
      <c r="L22" s="4" t="s">
        <v>29</v>
      </c>
      <c r="M22" s="8">
        <v>1.0</v>
      </c>
      <c r="N22" s="8">
        <v>2.0</v>
      </c>
      <c r="O22" s="8">
        <v>21.0</v>
      </c>
      <c r="P22" s="9">
        <v>0.5344</v>
      </c>
      <c r="Q22" s="8">
        <v>127.0</v>
      </c>
      <c r="R22" s="10">
        <v>89.0</v>
      </c>
      <c r="S22" s="9">
        <v>0.6129</v>
      </c>
      <c r="T22" s="11">
        <v>10.0</v>
      </c>
    </row>
    <row r="23">
      <c r="A23" s="1" t="s">
        <v>68</v>
      </c>
      <c r="B23" s="1" t="s">
        <v>69</v>
      </c>
      <c r="C23" s="1" t="s">
        <v>28</v>
      </c>
      <c r="D23" s="7">
        <v>45827.0</v>
      </c>
      <c r="E23" s="7">
        <v>45886.0</v>
      </c>
      <c r="F23" s="8">
        <v>39.0</v>
      </c>
      <c r="G23" s="8">
        <v>34.0</v>
      </c>
      <c r="H23" s="8">
        <v>7.5</v>
      </c>
      <c r="I23" s="9">
        <v>0.908</v>
      </c>
      <c r="J23" s="8">
        <v>7.1</v>
      </c>
      <c r="K23" s="8">
        <v>7.1</v>
      </c>
      <c r="L23" s="4" t="s">
        <v>29</v>
      </c>
      <c r="M23" s="8">
        <v>3.0</v>
      </c>
      <c r="N23" s="8">
        <v>3.0</v>
      </c>
      <c r="O23" s="8">
        <v>31.0</v>
      </c>
      <c r="P23" s="9">
        <v>0.7321</v>
      </c>
      <c r="Q23" s="8">
        <v>182.0</v>
      </c>
      <c r="R23" s="10">
        <v>59.0</v>
      </c>
      <c r="S23" s="9">
        <v>0.8718</v>
      </c>
      <c r="T23" s="11">
        <v>5.81</v>
      </c>
    </row>
    <row r="24">
      <c r="A24" s="1" t="s">
        <v>70</v>
      </c>
      <c r="B24" s="1" t="s">
        <v>71</v>
      </c>
      <c r="C24" s="1" t="s">
        <v>32</v>
      </c>
      <c r="D24" s="7">
        <v>45824.0</v>
      </c>
      <c r="E24" s="6">
        <v>45907.0</v>
      </c>
      <c r="F24" s="8">
        <v>18.0</v>
      </c>
      <c r="G24" s="8">
        <v>12.0</v>
      </c>
      <c r="H24" s="8">
        <v>9.2</v>
      </c>
      <c r="I24" s="9">
        <v>0.7734</v>
      </c>
      <c r="J24" s="8">
        <v>4.1</v>
      </c>
      <c r="K24" s="8">
        <v>3.0</v>
      </c>
      <c r="L24" s="4" t="s">
        <v>33</v>
      </c>
      <c r="M24" s="8">
        <v>1.0</v>
      </c>
      <c r="N24" s="8">
        <v>1.0</v>
      </c>
      <c r="O24" s="8">
        <v>14.0</v>
      </c>
      <c r="P24" s="9">
        <v>0.3928</v>
      </c>
      <c r="Q24" s="8">
        <v>120.0</v>
      </c>
      <c r="R24" s="10">
        <v>83.0</v>
      </c>
      <c r="S24" s="9">
        <v>0.6667</v>
      </c>
      <c r="T24" s="11">
        <v>3.62</v>
      </c>
    </row>
    <row r="25">
      <c r="A25" s="1" t="s">
        <v>72</v>
      </c>
      <c r="B25" s="1" t="s">
        <v>73</v>
      </c>
      <c r="C25" s="1" t="s">
        <v>28</v>
      </c>
      <c r="D25" s="7">
        <v>45834.0</v>
      </c>
      <c r="E25" s="7">
        <v>45889.0</v>
      </c>
      <c r="F25" s="8">
        <v>35.0</v>
      </c>
      <c r="G25" s="8">
        <v>31.0</v>
      </c>
      <c r="H25" s="8">
        <v>1.1</v>
      </c>
      <c r="I25" s="9">
        <v>0.9819</v>
      </c>
      <c r="J25" s="8">
        <v>6.6</v>
      </c>
      <c r="K25" s="8">
        <v>6.4</v>
      </c>
      <c r="L25" s="4" t="s">
        <v>29</v>
      </c>
      <c r="M25" s="8">
        <v>3.0</v>
      </c>
      <c r="N25" s="8">
        <v>3.0</v>
      </c>
      <c r="O25" s="8">
        <v>26.0</v>
      </c>
      <c r="P25" s="9">
        <v>0.7536</v>
      </c>
      <c r="Q25" s="8">
        <v>158.0</v>
      </c>
      <c r="R25" s="10">
        <v>55.0</v>
      </c>
      <c r="S25" s="9">
        <v>0.8857</v>
      </c>
      <c r="T25" s="11">
        <v>10.0</v>
      </c>
    </row>
    <row r="26">
      <c r="A26" s="1" t="s">
        <v>74</v>
      </c>
      <c r="B26" s="1" t="s">
        <v>75</v>
      </c>
      <c r="C26" s="1" t="s">
        <v>28</v>
      </c>
      <c r="D26" s="7">
        <v>45825.0</v>
      </c>
      <c r="E26" s="7">
        <v>45856.0</v>
      </c>
      <c r="F26" s="8">
        <v>40.0</v>
      </c>
      <c r="G26" s="8">
        <v>30.0</v>
      </c>
      <c r="H26" s="8">
        <v>7.2</v>
      </c>
      <c r="I26" s="9">
        <v>0.7385</v>
      </c>
      <c r="J26" s="8">
        <v>5.1</v>
      </c>
      <c r="K26" s="8">
        <v>5.5</v>
      </c>
      <c r="L26" s="4" t="s">
        <v>29</v>
      </c>
      <c r="M26" s="8">
        <v>5.0</v>
      </c>
      <c r="N26" s="8">
        <v>3.0</v>
      </c>
      <c r="O26" s="8">
        <v>24.0</v>
      </c>
      <c r="P26" s="9">
        <v>0.5174</v>
      </c>
      <c r="Q26" s="8">
        <v>143.0</v>
      </c>
      <c r="R26" s="10">
        <v>31.0</v>
      </c>
      <c r="S26" s="9">
        <v>0.75</v>
      </c>
      <c r="T26" s="11">
        <v>5.21</v>
      </c>
    </row>
    <row r="27">
      <c r="A27" s="1" t="s">
        <v>76</v>
      </c>
      <c r="B27" s="1" t="s">
        <v>77</v>
      </c>
      <c r="C27" s="1" t="s">
        <v>32</v>
      </c>
      <c r="D27" s="6">
        <v>45816.0</v>
      </c>
      <c r="E27" s="6">
        <v>45871.0</v>
      </c>
      <c r="F27" s="8">
        <v>22.0</v>
      </c>
      <c r="G27" s="8">
        <v>12.0</v>
      </c>
      <c r="H27" s="8">
        <v>1.4</v>
      </c>
      <c r="I27" s="9">
        <v>0.8709</v>
      </c>
      <c r="J27" s="8">
        <v>2.3</v>
      </c>
      <c r="K27" s="8">
        <v>1.2</v>
      </c>
      <c r="L27" s="4" t="s">
        <v>33</v>
      </c>
      <c r="M27" s="8">
        <v>1.0</v>
      </c>
      <c r="N27" s="8">
        <v>7.0</v>
      </c>
      <c r="O27" s="8">
        <v>12.0</v>
      </c>
      <c r="P27" s="9">
        <v>0.2858</v>
      </c>
      <c r="Q27" s="8">
        <v>145.0</v>
      </c>
      <c r="R27" s="10">
        <v>55.0</v>
      </c>
      <c r="S27" s="9">
        <v>0.5455</v>
      </c>
      <c r="T27" s="11">
        <v>10.0</v>
      </c>
    </row>
    <row r="28">
      <c r="A28" s="1" t="s">
        <v>78</v>
      </c>
      <c r="B28" s="1" t="s">
        <v>79</v>
      </c>
      <c r="C28" s="1" t="s">
        <v>32</v>
      </c>
      <c r="D28" s="7">
        <v>45832.0</v>
      </c>
      <c r="E28" s="6">
        <v>45870.0</v>
      </c>
      <c r="F28" s="8">
        <v>20.0</v>
      </c>
      <c r="G28" s="8">
        <v>15.0</v>
      </c>
      <c r="H28" s="8">
        <v>8.2</v>
      </c>
      <c r="I28" s="9">
        <v>0.8726</v>
      </c>
      <c r="J28" s="8">
        <v>4.5</v>
      </c>
      <c r="K28" s="8">
        <v>3.9</v>
      </c>
      <c r="L28" s="4" t="s">
        <v>33</v>
      </c>
      <c r="M28" s="8">
        <v>3.0</v>
      </c>
      <c r="N28" s="8">
        <v>3.0</v>
      </c>
      <c r="O28" s="8">
        <v>11.0</v>
      </c>
      <c r="P28" s="9">
        <v>0.422</v>
      </c>
      <c r="Q28" s="8">
        <v>168.0</v>
      </c>
      <c r="R28" s="10">
        <v>38.0</v>
      </c>
      <c r="S28" s="9">
        <v>0.75</v>
      </c>
      <c r="T28" s="11">
        <v>4.57</v>
      </c>
    </row>
    <row r="29">
      <c r="A29" s="1" t="s">
        <v>80</v>
      </c>
      <c r="B29" s="1" t="s">
        <v>81</v>
      </c>
      <c r="C29" s="1" t="s">
        <v>32</v>
      </c>
      <c r="D29" s="7">
        <v>45830.0</v>
      </c>
      <c r="E29" s="7">
        <v>45884.0</v>
      </c>
      <c r="F29" s="8">
        <v>22.0</v>
      </c>
      <c r="G29" s="8">
        <v>14.0</v>
      </c>
      <c r="H29" s="8">
        <v>4.4</v>
      </c>
      <c r="I29" s="9">
        <v>0.8927</v>
      </c>
      <c r="J29" s="8">
        <v>4.2</v>
      </c>
      <c r="K29" s="8">
        <v>4.0</v>
      </c>
      <c r="L29" s="4" t="s">
        <v>33</v>
      </c>
      <c r="M29" s="8">
        <v>1.0</v>
      </c>
      <c r="N29" s="8">
        <v>5.0</v>
      </c>
      <c r="O29" s="8">
        <v>13.0</v>
      </c>
      <c r="P29" s="9">
        <v>0.5827</v>
      </c>
      <c r="Q29" s="8">
        <v>178.0</v>
      </c>
      <c r="R29" s="10">
        <v>54.0</v>
      </c>
      <c r="S29" s="9">
        <v>0.6364</v>
      </c>
      <c r="T29" s="11">
        <v>7.23</v>
      </c>
    </row>
    <row r="30">
      <c r="A30" s="1" t="s">
        <v>82</v>
      </c>
      <c r="B30" s="1" t="s">
        <v>83</v>
      </c>
      <c r="C30" s="1" t="s">
        <v>22</v>
      </c>
      <c r="D30" s="7">
        <v>45823.0</v>
      </c>
      <c r="E30" s="7">
        <v>45910.0</v>
      </c>
      <c r="F30" s="8">
        <v>50.0</v>
      </c>
      <c r="G30" s="8">
        <v>29.0</v>
      </c>
      <c r="H30" s="8">
        <v>9.6</v>
      </c>
      <c r="I30" s="9">
        <v>0.64</v>
      </c>
      <c r="J30" s="8">
        <v>6.8</v>
      </c>
      <c r="K30" s="8">
        <v>6.7</v>
      </c>
      <c r="L30" s="4" t="s">
        <v>23</v>
      </c>
      <c r="M30" s="8">
        <v>3.0</v>
      </c>
      <c r="N30" s="8">
        <v>0.0</v>
      </c>
      <c r="O30" s="8">
        <v>33.0</v>
      </c>
      <c r="P30" s="9">
        <v>0.7812</v>
      </c>
      <c r="Q30" s="8">
        <v>188.0</v>
      </c>
      <c r="R30" s="10">
        <v>87.0</v>
      </c>
      <c r="S30" s="9">
        <v>0.58</v>
      </c>
      <c r="T30" s="11">
        <v>3.02</v>
      </c>
    </row>
    <row r="31">
      <c r="A31" s="1" t="s">
        <v>84</v>
      </c>
      <c r="B31" s="1" t="s">
        <v>85</v>
      </c>
      <c r="C31" s="1" t="s">
        <v>32</v>
      </c>
      <c r="D31" s="6">
        <v>45815.0</v>
      </c>
      <c r="E31" s="7">
        <v>45882.0</v>
      </c>
      <c r="F31" s="8">
        <v>48.0</v>
      </c>
      <c r="G31" s="8">
        <v>27.0</v>
      </c>
      <c r="H31" s="8">
        <v>7.4</v>
      </c>
      <c r="I31" s="9">
        <v>0.7173</v>
      </c>
      <c r="J31" s="8">
        <v>4.6</v>
      </c>
      <c r="K31" s="8">
        <v>4.7</v>
      </c>
      <c r="L31" s="4" t="s">
        <v>33</v>
      </c>
      <c r="M31" s="8">
        <v>3.0</v>
      </c>
      <c r="N31" s="8">
        <v>4.0</v>
      </c>
      <c r="O31" s="8">
        <v>29.0</v>
      </c>
      <c r="P31" s="9">
        <v>0.4641</v>
      </c>
      <c r="Q31" s="8">
        <v>132.0</v>
      </c>
      <c r="R31" s="10">
        <v>67.0</v>
      </c>
      <c r="S31" s="9">
        <v>0.5625</v>
      </c>
      <c r="T31" s="11">
        <v>3.8</v>
      </c>
    </row>
    <row r="32">
      <c r="A32" s="1" t="s">
        <v>86</v>
      </c>
      <c r="B32" s="1" t="s">
        <v>87</v>
      </c>
      <c r="C32" s="1" t="s">
        <v>28</v>
      </c>
      <c r="D32" s="7">
        <v>45833.0</v>
      </c>
      <c r="E32" s="7">
        <v>45869.0</v>
      </c>
      <c r="F32" s="8">
        <v>46.0</v>
      </c>
      <c r="G32" s="8">
        <v>28.0</v>
      </c>
      <c r="H32" s="8">
        <v>8.8</v>
      </c>
      <c r="I32" s="9">
        <v>0.689</v>
      </c>
      <c r="J32" s="8">
        <v>4.1</v>
      </c>
      <c r="K32" s="8">
        <v>3.9</v>
      </c>
      <c r="L32" s="4" t="s">
        <v>29</v>
      </c>
      <c r="M32" s="8">
        <v>3.0</v>
      </c>
      <c r="N32" s="8">
        <v>2.0</v>
      </c>
      <c r="O32" s="8">
        <v>28.0</v>
      </c>
      <c r="P32" s="9">
        <v>0.4329</v>
      </c>
      <c r="Q32" s="8">
        <v>123.0</v>
      </c>
      <c r="R32" s="10">
        <v>36.0</v>
      </c>
      <c r="S32" s="9">
        <v>0.6087</v>
      </c>
      <c r="T32" s="11">
        <v>3.46</v>
      </c>
    </row>
    <row r="33">
      <c r="A33" s="1" t="s">
        <v>88</v>
      </c>
      <c r="B33" s="1" t="s">
        <v>89</v>
      </c>
      <c r="C33" s="1" t="s">
        <v>22</v>
      </c>
      <c r="D33" s="7">
        <v>45836.0</v>
      </c>
      <c r="E33" s="7">
        <v>45885.0</v>
      </c>
      <c r="F33" s="8">
        <v>35.0</v>
      </c>
      <c r="G33" s="8">
        <v>21.0</v>
      </c>
      <c r="H33" s="8">
        <v>3.3</v>
      </c>
      <c r="I33" s="9">
        <v>0.7401</v>
      </c>
      <c r="J33" s="8">
        <v>6.6</v>
      </c>
      <c r="K33" s="8">
        <v>7.6</v>
      </c>
      <c r="L33" s="4" t="s">
        <v>23</v>
      </c>
      <c r="M33" s="8">
        <v>2.0</v>
      </c>
      <c r="N33" s="8">
        <v>2.0</v>
      </c>
      <c r="O33" s="8">
        <v>48.0</v>
      </c>
      <c r="P33" s="9">
        <v>0.5643</v>
      </c>
      <c r="Q33" s="8">
        <v>158.0</v>
      </c>
      <c r="R33" s="10">
        <v>49.0</v>
      </c>
      <c r="S33" s="9">
        <v>0.6</v>
      </c>
      <c r="T33" s="11">
        <v>9.09</v>
      </c>
    </row>
    <row r="34">
      <c r="A34" s="1" t="s">
        <v>90</v>
      </c>
      <c r="B34" s="1" t="s">
        <v>91</v>
      </c>
      <c r="C34" s="1" t="s">
        <v>28</v>
      </c>
      <c r="D34" s="6">
        <v>45812.0</v>
      </c>
      <c r="E34" s="6">
        <v>45878.0</v>
      </c>
      <c r="F34" s="8">
        <v>34.0</v>
      </c>
      <c r="G34" s="8">
        <v>27.0</v>
      </c>
      <c r="H34" s="8">
        <v>9.7</v>
      </c>
      <c r="I34" s="9">
        <v>0.8984</v>
      </c>
      <c r="J34" s="8">
        <v>7.3</v>
      </c>
      <c r="K34" s="8">
        <v>7.5</v>
      </c>
      <c r="L34" s="4" t="s">
        <v>29</v>
      </c>
      <c r="M34" s="8">
        <v>4.0</v>
      </c>
      <c r="N34" s="8">
        <v>1.0</v>
      </c>
      <c r="O34" s="8">
        <v>32.0</v>
      </c>
      <c r="P34" s="9">
        <v>0.7306</v>
      </c>
      <c r="Q34" s="8">
        <v>138.0</v>
      </c>
      <c r="R34" s="10">
        <v>66.0</v>
      </c>
      <c r="S34" s="9">
        <v>0.7941</v>
      </c>
      <c r="T34" s="11">
        <v>4.09</v>
      </c>
    </row>
    <row r="35">
      <c r="A35" s="1" t="s">
        <v>92</v>
      </c>
      <c r="B35" s="1" t="s">
        <v>93</v>
      </c>
      <c r="C35" s="1" t="s">
        <v>32</v>
      </c>
      <c r="D35" s="7">
        <v>45829.0</v>
      </c>
      <c r="E35" s="7">
        <v>45886.0</v>
      </c>
      <c r="F35" s="8">
        <v>24.0</v>
      </c>
      <c r="G35" s="8">
        <v>24.0</v>
      </c>
      <c r="H35" s="8">
        <v>6.3</v>
      </c>
      <c r="I35" s="9">
        <v>0.9877</v>
      </c>
      <c r="J35" s="8">
        <v>6.6</v>
      </c>
      <c r="K35" s="8">
        <v>6.5</v>
      </c>
      <c r="L35" s="4" t="s">
        <v>33</v>
      </c>
      <c r="M35" s="8">
        <v>3.0</v>
      </c>
      <c r="N35" s="8">
        <v>1.0</v>
      </c>
      <c r="O35" s="8">
        <v>27.0</v>
      </c>
      <c r="P35" s="9">
        <v>0.7088</v>
      </c>
      <c r="Q35" s="8">
        <v>155.0</v>
      </c>
      <c r="R35" s="10">
        <v>57.0</v>
      </c>
      <c r="S35" s="9">
        <v>1.0</v>
      </c>
      <c r="T35" s="11">
        <v>7.94</v>
      </c>
    </row>
    <row r="36">
      <c r="A36" s="1" t="s">
        <v>94</v>
      </c>
      <c r="B36" s="1" t="s">
        <v>95</v>
      </c>
      <c r="C36" s="1" t="s">
        <v>32</v>
      </c>
      <c r="D36" s="7">
        <v>45821.0</v>
      </c>
      <c r="E36" s="7">
        <v>45879.0</v>
      </c>
      <c r="F36" s="8">
        <v>36.0</v>
      </c>
      <c r="G36" s="8">
        <v>25.0</v>
      </c>
      <c r="H36" s="8">
        <v>3.8</v>
      </c>
      <c r="I36" s="9">
        <v>0.7855</v>
      </c>
      <c r="J36" s="8">
        <v>5.7</v>
      </c>
      <c r="K36" s="8">
        <v>6.1</v>
      </c>
      <c r="L36" s="4" t="s">
        <v>33</v>
      </c>
      <c r="M36" s="8">
        <v>3.0</v>
      </c>
      <c r="N36" s="8">
        <v>2.0</v>
      </c>
      <c r="O36" s="8">
        <v>27.0</v>
      </c>
      <c r="P36" s="9">
        <v>0.6185</v>
      </c>
      <c r="Q36" s="8">
        <v>154.0</v>
      </c>
      <c r="R36" s="10">
        <v>58.0</v>
      </c>
      <c r="S36" s="9">
        <v>0.6944</v>
      </c>
      <c r="T36" s="11">
        <v>9.14</v>
      </c>
    </row>
    <row r="37">
      <c r="A37" s="1" t="s">
        <v>96</v>
      </c>
      <c r="B37" s="1" t="s">
        <v>97</v>
      </c>
      <c r="C37" s="1" t="s">
        <v>22</v>
      </c>
      <c r="D37" s="7">
        <v>45823.0</v>
      </c>
      <c r="E37" s="7">
        <v>45884.0</v>
      </c>
      <c r="F37" s="8">
        <v>34.0</v>
      </c>
      <c r="G37" s="8">
        <v>30.0</v>
      </c>
      <c r="H37" s="8">
        <v>8.8</v>
      </c>
      <c r="I37" s="9">
        <v>0.929</v>
      </c>
      <c r="J37" s="8">
        <v>9.5</v>
      </c>
      <c r="K37" s="8">
        <v>10.0</v>
      </c>
      <c r="L37" s="4" t="s">
        <v>23</v>
      </c>
      <c r="M37" s="8">
        <v>3.0</v>
      </c>
      <c r="N37" s="8">
        <v>1.0</v>
      </c>
      <c r="O37" s="8">
        <v>47.0</v>
      </c>
      <c r="P37" s="9">
        <v>0.9265</v>
      </c>
      <c r="Q37" s="8">
        <v>130.0</v>
      </c>
      <c r="R37" s="10">
        <v>61.0</v>
      </c>
      <c r="S37" s="9">
        <v>0.8824</v>
      </c>
      <c r="T37" s="11">
        <v>5.01</v>
      </c>
    </row>
    <row r="38">
      <c r="A38" s="1" t="s">
        <v>98</v>
      </c>
      <c r="B38" s="1" t="s">
        <v>99</v>
      </c>
      <c r="C38" s="1" t="s">
        <v>28</v>
      </c>
      <c r="D38" s="6">
        <v>45813.0</v>
      </c>
      <c r="E38" s="7">
        <v>45895.0</v>
      </c>
      <c r="F38" s="8">
        <v>15.0</v>
      </c>
      <c r="G38" s="8">
        <v>10.0</v>
      </c>
      <c r="H38" s="8">
        <v>7.7</v>
      </c>
      <c r="I38" s="9">
        <v>0.8377</v>
      </c>
      <c r="J38" s="8">
        <v>7.1</v>
      </c>
      <c r="K38" s="8">
        <v>7.2</v>
      </c>
      <c r="L38" s="4" t="s">
        <v>29</v>
      </c>
      <c r="M38" s="8">
        <v>1.0</v>
      </c>
      <c r="N38" s="8">
        <v>3.0</v>
      </c>
      <c r="O38" s="8">
        <v>36.0</v>
      </c>
      <c r="P38" s="9">
        <v>0.7504</v>
      </c>
      <c r="Q38" s="8">
        <v>193.0</v>
      </c>
      <c r="R38" s="10">
        <v>82.0</v>
      </c>
      <c r="S38" s="9">
        <v>0.6667</v>
      </c>
      <c r="T38" s="11">
        <v>4.33</v>
      </c>
    </row>
    <row r="39">
      <c r="A39" s="1" t="s">
        <v>100</v>
      </c>
      <c r="B39" s="1" t="s">
        <v>101</v>
      </c>
      <c r="C39" s="1" t="s">
        <v>28</v>
      </c>
      <c r="D39" s="7">
        <v>45830.0</v>
      </c>
      <c r="E39" s="7">
        <v>45913.0</v>
      </c>
      <c r="F39" s="8">
        <v>22.0</v>
      </c>
      <c r="G39" s="8">
        <v>15.0</v>
      </c>
      <c r="H39" s="8">
        <v>7.8</v>
      </c>
      <c r="I39" s="9">
        <v>0.7511</v>
      </c>
      <c r="J39" s="8">
        <v>6.2</v>
      </c>
      <c r="K39" s="8">
        <v>6.2</v>
      </c>
      <c r="L39" s="4" t="s">
        <v>29</v>
      </c>
      <c r="M39" s="8">
        <v>3.0</v>
      </c>
      <c r="N39" s="8">
        <v>1.0</v>
      </c>
      <c r="O39" s="8">
        <v>40.0</v>
      </c>
      <c r="P39" s="9">
        <v>0.5987</v>
      </c>
      <c r="Q39" s="8">
        <v>169.0</v>
      </c>
      <c r="R39" s="10">
        <v>83.0</v>
      </c>
      <c r="S39" s="9">
        <v>0.6818</v>
      </c>
      <c r="T39" s="11">
        <v>4.37</v>
      </c>
    </row>
    <row r="40">
      <c r="A40" s="1" t="s">
        <v>102</v>
      </c>
      <c r="B40" s="1" t="s">
        <v>103</v>
      </c>
      <c r="C40" s="1" t="s">
        <v>32</v>
      </c>
      <c r="D40" s="6">
        <v>45810.0</v>
      </c>
      <c r="E40" s="7">
        <v>45899.0</v>
      </c>
      <c r="F40" s="8">
        <v>32.0</v>
      </c>
      <c r="G40" s="8">
        <v>26.0</v>
      </c>
      <c r="H40" s="8">
        <v>7.3</v>
      </c>
      <c r="I40" s="9">
        <v>0.9409</v>
      </c>
      <c r="J40" s="8">
        <v>6.1</v>
      </c>
      <c r="K40" s="8">
        <v>5.8</v>
      </c>
      <c r="L40" s="4" t="s">
        <v>33</v>
      </c>
      <c r="M40" s="8">
        <v>3.0</v>
      </c>
      <c r="N40" s="8">
        <v>3.0</v>
      </c>
      <c r="O40" s="8">
        <v>21.0</v>
      </c>
      <c r="P40" s="9">
        <v>0.5929</v>
      </c>
      <c r="Q40" s="8">
        <v>169.0</v>
      </c>
      <c r="R40" s="10">
        <v>89.0</v>
      </c>
      <c r="S40" s="9">
        <v>0.8125</v>
      </c>
      <c r="T40" s="11">
        <v>5.57</v>
      </c>
    </row>
    <row r="41">
      <c r="A41" s="1" t="s">
        <v>104</v>
      </c>
      <c r="B41" s="1" t="s">
        <v>105</v>
      </c>
      <c r="C41" s="1" t="s">
        <v>32</v>
      </c>
      <c r="D41" s="6">
        <v>45810.0</v>
      </c>
      <c r="E41" s="7">
        <v>45892.0</v>
      </c>
      <c r="F41" s="8">
        <v>26.0</v>
      </c>
      <c r="G41" s="8">
        <v>16.0</v>
      </c>
      <c r="H41" s="8">
        <v>3.3</v>
      </c>
      <c r="I41" s="9">
        <v>0.836</v>
      </c>
      <c r="J41" s="8">
        <v>4.5</v>
      </c>
      <c r="K41" s="8">
        <v>4.8</v>
      </c>
      <c r="L41" s="4" t="s">
        <v>33</v>
      </c>
      <c r="M41" s="8">
        <v>1.0</v>
      </c>
      <c r="N41" s="8">
        <v>5.0</v>
      </c>
      <c r="O41" s="8">
        <v>24.0</v>
      </c>
      <c r="P41" s="9">
        <v>0.4484</v>
      </c>
      <c r="Q41" s="8">
        <v>162.0</v>
      </c>
      <c r="R41" s="10">
        <v>82.0</v>
      </c>
      <c r="S41" s="9">
        <v>0.6154</v>
      </c>
      <c r="T41" s="11">
        <v>9.32</v>
      </c>
    </row>
    <row r="42">
      <c r="A42" s="1" t="s">
        <v>106</v>
      </c>
      <c r="B42" s="1" t="s">
        <v>107</v>
      </c>
      <c r="C42" s="1" t="s">
        <v>28</v>
      </c>
      <c r="D42" s="7">
        <v>45826.0</v>
      </c>
      <c r="E42" s="7">
        <v>45884.0</v>
      </c>
      <c r="F42" s="8">
        <v>25.0</v>
      </c>
      <c r="G42" s="8">
        <v>12.0</v>
      </c>
      <c r="H42" s="8">
        <v>4.1</v>
      </c>
      <c r="I42" s="9">
        <v>0.6961</v>
      </c>
      <c r="J42" s="8">
        <v>5.2</v>
      </c>
      <c r="K42" s="8">
        <v>5.2</v>
      </c>
      <c r="L42" s="4" t="s">
        <v>29</v>
      </c>
      <c r="M42" s="8">
        <v>1.0</v>
      </c>
      <c r="N42" s="8">
        <v>3.0</v>
      </c>
      <c r="O42" s="8">
        <v>38.0</v>
      </c>
      <c r="P42" s="9">
        <v>0.5678</v>
      </c>
      <c r="Q42" s="8">
        <v>170.0</v>
      </c>
      <c r="R42" s="10">
        <v>58.0</v>
      </c>
      <c r="S42" s="9">
        <v>0.48</v>
      </c>
      <c r="T42" s="11">
        <v>5.85</v>
      </c>
    </row>
    <row r="43">
      <c r="A43" s="1" t="s">
        <v>108</v>
      </c>
      <c r="B43" s="1" t="s">
        <v>109</v>
      </c>
      <c r="C43" s="1" t="s">
        <v>32</v>
      </c>
      <c r="D43" s="7">
        <v>45835.0</v>
      </c>
      <c r="E43" s="6">
        <v>45909.0</v>
      </c>
      <c r="F43" s="8">
        <v>15.0</v>
      </c>
      <c r="G43" s="8">
        <v>7.0</v>
      </c>
      <c r="H43" s="8">
        <v>2.9</v>
      </c>
      <c r="I43" s="9">
        <v>0.6163</v>
      </c>
      <c r="J43" s="8">
        <v>1.8</v>
      </c>
      <c r="K43" s="8">
        <v>1.8</v>
      </c>
      <c r="L43" s="4" t="s">
        <v>33</v>
      </c>
      <c r="M43" s="8">
        <v>1.0</v>
      </c>
      <c r="N43" s="8">
        <v>2.0</v>
      </c>
      <c r="O43" s="8">
        <v>14.0</v>
      </c>
      <c r="P43" s="9">
        <v>0.0659</v>
      </c>
      <c r="Q43" s="8">
        <v>145.0</v>
      </c>
      <c r="R43" s="10">
        <v>74.0</v>
      </c>
      <c r="S43" s="9">
        <v>0.4667</v>
      </c>
      <c r="T43" s="11">
        <v>8.05</v>
      </c>
    </row>
    <row r="44">
      <c r="A44" s="1" t="s">
        <v>110</v>
      </c>
      <c r="B44" s="1" t="s">
        <v>111</v>
      </c>
      <c r="C44" s="1" t="s">
        <v>28</v>
      </c>
      <c r="D44" s="7">
        <v>45830.0</v>
      </c>
      <c r="E44" s="7">
        <v>45915.0</v>
      </c>
      <c r="F44" s="8">
        <v>26.0</v>
      </c>
      <c r="G44" s="8">
        <v>23.0</v>
      </c>
      <c r="H44" s="8">
        <v>7.7</v>
      </c>
      <c r="I44" s="9">
        <v>0.9198</v>
      </c>
      <c r="J44" s="8">
        <v>7.2</v>
      </c>
      <c r="K44" s="8">
        <v>6.8</v>
      </c>
      <c r="L44" s="4" t="s">
        <v>29</v>
      </c>
      <c r="M44" s="8">
        <v>3.0</v>
      </c>
      <c r="N44" s="8">
        <v>1.0</v>
      </c>
      <c r="O44" s="8">
        <v>34.0</v>
      </c>
      <c r="P44" s="9">
        <v>0.6912</v>
      </c>
      <c r="Q44" s="8">
        <v>147.0</v>
      </c>
      <c r="R44" s="10">
        <v>85.0</v>
      </c>
      <c r="S44" s="9">
        <v>0.8846</v>
      </c>
      <c r="T44" s="11">
        <v>5.74</v>
      </c>
    </row>
    <row r="45">
      <c r="A45" s="1" t="s">
        <v>112</v>
      </c>
      <c r="B45" s="1" t="s">
        <v>113</v>
      </c>
      <c r="C45" s="1" t="s">
        <v>32</v>
      </c>
      <c r="D45" s="7">
        <v>45831.0</v>
      </c>
      <c r="E45" s="7">
        <v>45885.0</v>
      </c>
      <c r="F45" s="8">
        <v>16.0</v>
      </c>
      <c r="G45" s="8">
        <v>11.0</v>
      </c>
      <c r="H45" s="8">
        <v>7.7</v>
      </c>
      <c r="I45" s="9">
        <v>0.7476</v>
      </c>
      <c r="J45" s="8">
        <v>3.9</v>
      </c>
      <c r="K45" s="8">
        <v>3.1</v>
      </c>
      <c r="L45" s="4" t="s">
        <v>33</v>
      </c>
      <c r="M45" s="8">
        <v>1.0</v>
      </c>
      <c r="N45" s="8">
        <v>1.0</v>
      </c>
      <c r="O45" s="8">
        <v>11.0</v>
      </c>
      <c r="P45" s="9">
        <v>0.307</v>
      </c>
      <c r="Q45" s="8">
        <v>147.0</v>
      </c>
      <c r="R45" s="10">
        <v>54.0</v>
      </c>
      <c r="S45" s="9">
        <v>0.6875</v>
      </c>
      <c r="T45" s="11">
        <v>4.46</v>
      </c>
    </row>
    <row r="46">
      <c r="A46" s="1" t="s">
        <v>114</v>
      </c>
      <c r="B46" s="1" t="s">
        <v>115</v>
      </c>
      <c r="C46" s="1" t="s">
        <v>32</v>
      </c>
      <c r="D46" s="7">
        <v>45823.0</v>
      </c>
      <c r="E46" s="7">
        <v>45888.0</v>
      </c>
      <c r="F46" s="8">
        <v>26.0</v>
      </c>
      <c r="G46" s="8">
        <v>13.0</v>
      </c>
      <c r="H46" s="8">
        <v>4.2</v>
      </c>
      <c r="I46" s="9">
        <v>0.608</v>
      </c>
      <c r="J46" s="8">
        <v>2.0</v>
      </c>
      <c r="K46" s="8">
        <v>1.8</v>
      </c>
      <c r="L46" s="4" t="s">
        <v>33</v>
      </c>
      <c r="M46" s="8">
        <v>1.0</v>
      </c>
      <c r="N46" s="8">
        <v>2.0</v>
      </c>
      <c r="O46" s="8">
        <v>26.0</v>
      </c>
      <c r="P46" s="9">
        <v>0.3086</v>
      </c>
      <c r="Q46" s="8">
        <v>153.0</v>
      </c>
      <c r="R46" s="10">
        <v>65.0</v>
      </c>
      <c r="S46" s="9">
        <v>0.5</v>
      </c>
      <c r="T46" s="11">
        <v>5.95</v>
      </c>
    </row>
    <row r="47">
      <c r="A47" s="1" t="s">
        <v>116</v>
      </c>
      <c r="B47" s="1" t="s">
        <v>117</v>
      </c>
      <c r="C47" s="1" t="s">
        <v>28</v>
      </c>
      <c r="D47" s="6">
        <v>45813.0</v>
      </c>
      <c r="E47" s="7">
        <v>45848.0</v>
      </c>
      <c r="F47" s="8">
        <v>50.0</v>
      </c>
      <c r="G47" s="8">
        <v>39.0</v>
      </c>
      <c r="H47" s="8">
        <v>6.5</v>
      </c>
      <c r="I47" s="9">
        <v>0.8231</v>
      </c>
      <c r="J47" s="8">
        <v>6.1</v>
      </c>
      <c r="K47" s="8">
        <v>6.1</v>
      </c>
      <c r="L47" s="4" t="s">
        <v>29</v>
      </c>
      <c r="M47" s="8">
        <v>4.0</v>
      </c>
      <c r="N47" s="8">
        <v>1.0</v>
      </c>
      <c r="O47" s="8">
        <v>27.0</v>
      </c>
      <c r="P47" s="9">
        <v>0.5281</v>
      </c>
      <c r="Q47" s="8">
        <v>152.0</v>
      </c>
      <c r="R47" s="10">
        <v>35.0</v>
      </c>
      <c r="S47" s="9">
        <v>0.78</v>
      </c>
      <c r="T47" s="11">
        <v>6.0</v>
      </c>
    </row>
    <row r="48">
      <c r="A48" s="1" t="s">
        <v>118</v>
      </c>
      <c r="B48" s="1" t="s">
        <v>119</v>
      </c>
      <c r="C48" s="1" t="s">
        <v>28</v>
      </c>
      <c r="D48" s="7">
        <v>45827.0</v>
      </c>
      <c r="E48" s="7">
        <v>45894.0</v>
      </c>
      <c r="F48" s="8">
        <v>13.0</v>
      </c>
      <c r="G48" s="8">
        <v>7.0</v>
      </c>
      <c r="H48" s="8">
        <v>1.0</v>
      </c>
      <c r="I48" s="9">
        <v>0.603</v>
      </c>
      <c r="J48" s="8">
        <v>5.1</v>
      </c>
      <c r="K48" s="8">
        <v>5.1</v>
      </c>
      <c r="L48" s="4" t="s">
        <v>29</v>
      </c>
      <c r="M48" s="8">
        <v>1.0</v>
      </c>
      <c r="N48" s="8">
        <v>1.0</v>
      </c>
      <c r="O48" s="8">
        <v>40.0</v>
      </c>
      <c r="P48" s="9">
        <v>0.5326</v>
      </c>
      <c r="Q48" s="8">
        <v>176.0</v>
      </c>
      <c r="R48" s="10">
        <v>67.0</v>
      </c>
      <c r="S48" s="9">
        <v>0.5385</v>
      </c>
      <c r="T48" s="11">
        <v>10.0</v>
      </c>
    </row>
    <row r="49">
      <c r="A49" s="1" t="s">
        <v>120</v>
      </c>
      <c r="B49" s="1" t="s">
        <v>121</v>
      </c>
      <c r="C49" s="1" t="s">
        <v>22</v>
      </c>
      <c r="D49" s="6">
        <v>45809.0</v>
      </c>
      <c r="E49" s="7">
        <v>45885.0</v>
      </c>
      <c r="F49" s="8">
        <v>14.0</v>
      </c>
      <c r="G49" s="8">
        <v>10.0</v>
      </c>
      <c r="H49" s="8">
        <v>4.8</v>
      </c>
      <c r="I49" s="9">
        <v>0.8874</v>
      </c>
      <c r="J49" s="8">
        <v>8.0</v>
      </c>
      <c r="K49" s="8">
        <v>6.9</v>
      </c>
      <c r="L49" s="4" t="s">
        <v>23</v>
      </c>
      <c r="M49" s="8">
        <v>1.0</v>
      </c>
      <c r="N49" s="8">
        <v>1.0</v>
      </c>
      <c r="O49" s="8">
        <v>40.0</v>
      </c>
      <c r="P49" s="9">
        <v>0.8024</v>
      </c>
      <c r="Q49" s="8">
        <v>133.0</v>
      </c>
      <c r="R49" s="10">
        <v>76.0</v>
      </c>
      <c r="S49" s="9">
        <v>0.7143</v>
      </c>
      <c r="T49" s="11">
        <v>7.44</v>
      </c>
    </row>
    <row r="50">
      <c r="A50" s="1" t="s">
        <v>122</v>
      </c>
      <c r="B50" s="1" t="s">
        <v>123</v>
      </c>
      <c r="C50" s="1" t="s">
        <v>28</v>
      </c>
      <c r="D50" s="6">
        <v>45817.0</v>
      </c>
      <c r="E50" s="7">
        <v>45883.0</v>
      </c>
      <c r="F50" s="8">
        <v>15.0</v>
      </c>
      <c r="G50" s="8">
        <v>8.0</v>
      </c>
      <c r="H50" s="8">
        <v>1.6</v>
      </c>
      <c r="I50" s="9">
        <v>0.7155</v>
      </c>
      <c r="J50" s="8">
        <v>4.1</v>
      </c>
      <c r="K50" s="8">
        <v>3.7</v>
      </c>
      <c r="L50" s="4" t="s">
        <v>29</v>
      </c>
      <c r="M50" s="8">
        <v>1.0</v>
      </c>
      <c r="N50" s="8">
        <v>3.0</v>
      </c>
      <c r="O50" s="8">
        <v>24.0</v>
      </c>
      <c r="P50" s="9">
        <v>0.448</v>
      </c>
      <c r="Q50" s="8">
        <v>128.0</v>
      </c>
      <c r="R50" s="10">
        <v>66.0</v>
      </c>
      <c r="S50" s="9">
        <v>0.5333</v>
      </c>
      <c r="T50" s="11">
        <v>10.0</v>
      </c>
    </row>
    <row r="51">
      <c r="A51" s="1" t="s">
        <v>124</v>
      </c>
      <c r="B51" s="1" t="s">
        <v>125</v>
      </c>
      <c r="C51" s="1" t="s">
        <v>22</v>
      </c>
      <c r="D51" s="6">
        <v>45816.0</v>
      </c>
      <c r="E51" s="6">
        <v>45874.0</v>
      </c>
      <c r="F51" s="8">
        <v>14.0</v>
      </c>
      <c r="G51" s="8">
        <v>10.0</v>
      </c>
      <c r="H51" s="8">
        <v>9.4</v>
      </c>
      <c r="I51" s="9">
        <v>0.8383</v>
      </c>
      <c r="J51" s="8">
        <v>7.5</v>
      </c>
      <c r="K51" s="8">
        <v>7.8</v>
      </c>
      <c r="L51" s="4" t="s">
        <v>23</v>
      </c>
      <c r="M51" s="8">
        <v>2.0</v>
      </c>
      <c r="N51" s="8">
        <v>1.0</v>
      </c>
      <c r="O51" s="8">
        <v>35.0</v>
      </c>
      <c r="P51" s="9">
        <v>0.829</v>
      </c>
      <c r="Q51" s="8">
        <v>133.0</v>
      </c>
      <c r="R51" s="10">
        <v>58.0</v>
      </c>
      <c r="S51" s="9">
        <v>0.7143</v>
      </c>
      <c r="T51" s="11">
        <v>3.8</v>
      </c>
    </row>
    <row r="52">
      <c r="A52" s="1" t="s">
        <v>126</v>
      </c>
      <c r="B52" s="1" t="s">
        <v>127</v>
      </c>
      <c r="C52" s="1" t="s">
        <v>32</v>
      </c>
      <c r="D52" s="7">
        <v>45827.0</v>
      </c>
      <c r="E52" s="7">
        <v>45888.0</v>
      </c>
      <c r="F52" s="8">
        <v>13.0</v>
      </c>
      <c r="G52" s="8">
        <v>10.0</v>
      </c>
      <c r="H52" s="8">
        <v>7.1</v>
      </c>
      <c r="I52" s="9">
        <v>0.9198</v>
      </c>
      <c r="J52" s="8">
        <v>3.8</v>
      </c>
      <c r="K52" s="8">
        <v>5.0</v>
      </c>
      <c r="L52" s="4" t="s">
        <v>33</v>
      </c>
      <c r="M52" s="8">
        <v>1.0</v>
      </c>
      <c r="N52" s="8">
        <v>3.0</v>
      </c>
      <c r="O52" s="8">
        <v>12.0</v>
      </c>
      <c r="P52" s="9">
        <v>0.3601</v>
      </c>
      <c r="Q52" s="8">
        <v>157.0</v>
      </c>
      <c r="R52" s="10">
        <v>61.0</v>
      </c>
      <c r="S52" s="9">
        <v>0.7692</v>
      </c>
      <c r="T52" s="11">
        <v>5.42</v>
      </c>
    </row>
    <row r="53">
      <c r="A53" s="1" t="s">
        <v>128</v>
      </c>
      <c r="B53" s="1" t="s">
        <v>129</v>
      </c>
      <c r="C53" s="1" t="s">
        <v>28</v>
      </c>
      <c r="D53" s="7">
        <v>45823.0</v>
      </c>
      <c r="E53" s="6">
        <v>45904.0</v>
      </c>
      <c r="F53" s="8">
        <v>11.0</v>
      </c>
      <c r="G53" s="8">
        <v>8.0</v>
      </c>
      <c r="H53" s="8">
        <v>6.6</v>
      </c>
      <c r="I53" s="9">
        <v>0.8159</v>
      </c>
      <c r="J53" s="8">
        <v>6.3</v>
      </c>
      <c r="K53" s="8">
        <v>5.3</v>
      </c>
      <c r="L53" s="4" t="s">
        <v>29</v>
      </c>
      <c r="M53" s="8">
        <v>2.0</v>
      </c>
      <c r="N53" s="8">
        <v>2.0</v>
      </c>
      <c r="O53" s="8">
        <v>34.0</v>
      </c>
      <c r="P53" s="9">
        <v>0.6872</v>
      </c>
      <c r="Q53" s="8">
        <v>148.0</v>
      </c>
      <c r="R53" s="10">
        <v>81.0</v>
      </c>
      <c r="S53" s="9">
        <v>0.7273</v>
      </c>
      <c r="T53" s="11">
        <v>5.51</v>
      </c>
    </row>
    <row r="54">
      <c r="A54" s="1" t="s">
        <v>130</v>
      </c>
      <c r="B54" s="1" t="s">
        <v>131</v>
      </c>
      <c r="C54" s="1" t="s">
        <v>32</v>
      </c>
      <c r="D54" s="7">
        <v>45823.0</v>
      </c>
      <c r="E54" s="7">
        <v>45883.0</v>
      </c>
      <c r="F54" s="8">
        <v>13.0</v>
      </c>
      <c r="G54" s="8">
        <v>8.0</v>
      </c>
      <c r="H54" s="8">
        <v>8.9</v>
      </c>
      <c r="I54" s="9">
        <v>0.7982</v>
      </c>
      <c r="J54" s="8">
        <v>3.6</v>
      </c>
      <c r="K54" s="8">
        <v>4.3</v>
      </c>
      <c r="L54" s="4" t="s">
        <v>33</v>
      </c>
      <c r="M54" s="8">
        <v>1.0</v>
      </c>
      <c r="N54" s="8">
        <v>5.0</v>
      </c>
      <c r="O54" s="8">
        <v>16.0</v>
      </c>
      <c r="P54" s="9">
        <v>0.3345</v>
      </c>
      <c r="Q54" s="8">
        <v>171.0</v>
      </c>
      <c r="R54" s="10">
        <v>60.0</v>
      </c>
      <c r="S54" s="9">
        <v>0.6154</v>
      </c>
      <c r="T54" s="11">
        <v>3.46</v>
      </c>
    </row>
    <row r="55">
      <c r="A55" s="1" t="s">
        <v>132</v>
      </c>
      <c r="B55" s="1" t="s">
        <v>133</v>
      </c>
      <c r="C55" s="1" t="s">
        <v>22</v>
      </c>
      <c r="D55" s="7">
        <v>45835.0</v>
      </c>
      <c r="E55" s="6">
        <v>45907.0</v>
      </c>
      <c r="F55" s="8">
        <v>13.0</v>
      </c>
      <c r="G55" s="8">
        <v>9.0</v>
      </c>
      <c r="H55" s="8">
        <v>6.8</v>
      </c>
      <c r="I55" s="9">
        <v>0.7589</v>
      </c>
      <c r="J55" s="8">
        <v>8.1</v>
      </c>
      <c r="K55" s="8">
        <v>8.4</v>
      </c>
      <c r="L55" s="4" t="s">
        <v>23</v>
      </c>
      <c r="M55" s="8">
        <v>1.0</v>
      </c>
      <c r="N55" s="8">
        <v>0.0</v>
      </c>
      <c r="O55" s="8">
        <v>37.0</v>
      </c>
      <c r="P55" s="9">
        <v>0.9038</v>
      </c>
      <c r="Q55" s="8">
        <v>139.0</v>
      </c>
      <c r="R55" s="10">
        <v>72.0</v>
      </c>
      <c r="S55" s="9">
        <v>0.6923</v>
      </c>
      <c r="T55" s="11">
        <v>5.09</v>
      </c>
    </row>
    <row r="56">
      <c r="A56" s="1" t="s">
        <v>134</v>
      </c>
      <c r="B56" s="1" t="s">
        <v>135</v>
      </c>
      <c r="C56" s="1" t="s">
        <v>32</v>
      </c>
      <c r="D56" s="6">
        <v>45813.0</v>
      </c>
      <c r="E56" s="6">
        <v>45846.0</v>
      </c>
      <c r="F56" s="8">
        <v>35.0</v>
      </c>
      <c r="G56" s="8">
        <v>20.0</v>
      </c>
      <c r="H56" s="8">
        <v>6.5</v>
      </c>
      <c r="I56" s="9">
        <v>0.6726</v>
      </c>
      <c r="J56" s="8">
        <v>4.6</v>
      </c>
      <c r="K56" s="8">
        <v>4.7</v>
      </c>
      <c r="L56" s="4" t="s">
        <v>33</v>
      </c>
      <c r="M56" s="8">
        <v>1.0</v>
      </c>
      <c r="N56" s="8">
        <v>2.0</v>
      </c>
      <c r="O56" s="8">
        <v>19.0</v>
      </c>
      <c r="P56" s="9">
        <v>0.4963</v>
      </c>
      <c r="Q56" s="8">
        <v>191.0</v>
      </c>
      <c r="R56" s="10">
        <v>33.0</v>
      </c>
      <c r="S56" s="9">
        <v>0.5714</v>
      </c>
      <c r="T56" s="11">
        <v>4.4</v>
      </c>
    </row>
    <row r="57">
      <c r="A57" s="1" t="s">
        <v>136</v>
      </c>
      <c r="B57" s="1" t="s">
        <v>137</v>
      </c>
      <c r="C57" s="1" t="s">
        <v>28</v>
      </c>
      <c r="D57" s="7">
        <v>45830.0</v>
      </c>
      <c r="E57" s="7">
        <v>45860.0</v>
      </c>
      <c r="F57" s="8">
        <v>49.0</v>
      </c>
      <c r="G57" s="8">
        <v>34.0</v>
      </c>
      <c r="H57" s="8">
        <v>2.5</v>
      </c>
      <c r="I57" s="9">
        <v>0.8605</v>
      </c>
      <c r="J57" s="8">
        <v>6.2</v>
      </c>
      <c r="K57" s="8">
        <v>6.5</v>
      </c>
      <c r="L57" s="4" t="s">
        <v>29</v>
      </c>
      <c r="M57" s="8">
        <v>5.0</v>
      </c>
      <c r="N57" s="8">
        <v>3.0</v>
      </c>
      <c r="O57" s="8">
        <v>36.0</v>
      </c>
      <c r="P57" s="9">
        <v>0.6005</v>
      </c>
      <c r="Q57" s="8">
        <v>159.0</v>
      </c>
      <c r="R57" s="10">
        <v>30.0</v>
      </c>
      <c r="S57" s="9">
        <v>0.6939</v>
      </c>
      <c r="T57" s="11">
        <v>10.0</v>
      </c>
    </row>
    <row r="58">
      <c r="A58" s="1" t="s">
        <v>138</v>
      </c>
      <c r="B58" s="1" t="s">
        <v>139</v>
      </c>
      <c r="C58" s="1" t="s">
        <v>32</v>
      </c>
      <c r="D58" s="7">
        <v>45835.0</v>
      </c>
      <c r="E58" s="7">
        <v>45882.0</v>
      </c>
      <c r="F58" s="8">
        <v>35.0</v>
      </c>
      <c r="G58" s="8">
        <v>25.0</v>
      </c>
      <c r="H58" s="8">
        <v>5.8</v>
      </c>
      <c r="I58" s="9">
        <v>0.8432</v>
      </c>
      <c r="J58" s="8">
        <v>4.4</v>
      </c>
      <c r="K58" s="8">
        <v>4.2</v>
      </c>
      <c r="L58" s="4" t="s">
        <v>33</v>
      </c>
      <c r="M58" s="8">
        <v>3.0</v>
      </c>
      <c r="N58" s="8">
        <v>1.0</v>
      </c>
      <c r="O58" s="8">
        <v>24.0</v>
      </c>
      <c r="P58" s="9">
        <v>0.4714</v>
      </c>
      <c r="Q58" s="8">
        <v>136.0</v>
      </c>
      <c r="R58" s="10">
        <v>47.0</v>
      </c>
      <c r="S58" s="9">
        <v>0.7143</v>
      </c>
      <c r="T58" s="11">
        <v>6.16</v>
      </c>
    </row>
    <row r="59">
      <c r="A59" s="1" t="s">
        <v>140</v>
      </c>
      <c r="B59" s="1" t="s">
        <v>141</v>
      </c>
      <c r="C59" s="1" t="s">
        <v>22</v>
      </c>
      <c r="D59" s="7">
        <v>45834.0</v>
      </c>
      <c r="E59" s="7">
        <v>45885.0</v>
      </c>
      <c r="F59" s="8">
        <v>34.0</v>
      </c>
      <c r="G59" s="8">
        <v>21.0</v>
      </c>
      <c r="H59" s="8">
        <v>9.2</v>
      </c>
      <c r="I59" s="9">
        <v>0.8348</v>
      </c>
      <c r="J59" s="8">
        <v>7.9</v>
      </c>
      <c r="K59" s="8">
        <v>8.7</v>
      </c>
      <c r="L59" s="4" t="s">
        <v>23</v>
      </c>
      <c r="M59" s="8">
        <v>3.0</v>
      </c>
      <c r="N59" s="8">
        <v>1.0</v>
      </c>
      <c r="O59" s="8">
        <v>41.0</v>
      </c>
      <c r="P59" s="9">
        <v>0.6978</v>
      </c>
      <c r="Q59" s="8">
        <v>168.0</v>
      </c>
      <c r="R59" s="10">
        <v>51.0</v>
      </c>
      <c r="S59" s="9">
        <v>0.6176</v>
      </c>
      <c r="T59" s="11">
        <v>3.36</v>
      </c>
    </row>
    <row r="60">
      <c r="A60" s="1" t="s">
        <v>142</v>
      </c>
      <c r="B60" s="1" t="s">
        <v>143</v>
      </c>
      <c r="C60" s="1" t="s">
        <v>22</v>
      </c>
      <c r="D60" s="7">
        <v>45838.0</v>
      </c>
      <c r="E60" s="7">
        <v>45886.0</v>
      </c>
      <c r="F60" s="8">
        <v>31.0</v>
      </c>
      <c r="G60" s="8">
        <v>22.0</v>
      </c>
      <c r="H60" s="8">
        <v>1.6</v>
      </c>
      <c r="I60" s="9">
        <v>0.6712</v>
      </c>
      <c r="J60" s="8">
        <v>7.7</v>
      </c>
      <c r="K60" s="8">
        <v>7.2</v>
      </c>
      <c r="L60" s="4" t="s">
        <v>23</v>
      </c>
      <c r="M60" s="8">
        <v>3.0</v>
      </c>
      <c r="N60" s="8">
        <v>1.0</v>
      </c>
      <c r="O60" s="8">
        <v>49.0</v>
      </c>
      <c r="P60" s="9">
        <v>0.8037</v>
      </c>
      <c r="Q60" s="8">
        <v>148.0</v>
      </c>
      <c r="R60" s="10">
        <v>48.0</v>
      </c>
      <c r="S60" s="9">
        <v>0.7097</v>
      </c>
      <c r="T60" s="11">
        <v>10.0</v>
      </c>
    </row>
    <row r="61">
      <c r="A61" s="1" t="s">
        <v>144</v>
      </c>
      <c r="B61" s="1" t="s">
        <v>145</v>
      </c>
      <c r="C61" s="1" t="s">
        <v>32</v>
      </c>
      <c r="D61" s="6">
        <v>45812.0</v>
      </c>
      <c r="E61" s="7">
        <v>45892.0</v>
      </c>
      <c r="F61" s="8">
        <v>23.0</v>
      </c>
      <c r="G61" s="8">
        <v>18.0</v>
      </c>
      <c r="H61" s="8">
        <v>5.8</v>
      </c>
      <c r="I61" s="9">
        <v>0.85</v>
      </c>
      <c r="J61" s="8">
        <v>6.4</v>
      </c>
      <c r="K61" s="8">
        <v>6.0</v>
      </c>
      <c r="L61" s="4" t="s">
        <v>33</v>
      </c>
      <c r="M61" s="8">
        <v>1.0</v>
      </c>
      <c r="N61" s="8">
        <v>1.0</v>
      </c>
      <c r="O61" s="8">
        <v>25.0</v>
      </c>
      <c r="P61" s="9">
        <v>0.4616</v>
      </c>
      <c r="Q61" s="8">
        <v>127.0</v>
      </c>
      <c r="R61" s="10">
        <v>80.0</v>
      </c>
      <c r="S61" s="9">
        <v>0.7826</v>
      </c>
      <c r="T61" s="11">
        <v>6.75</v>
      </c>
    </row>
    <row r="62">
      <c r="A62" s="1" t="s">
        <v>146</v>
      </c>
      <c r="B62" s="1" t="s">
        <v>147</v>
      </c>
      <c r="C62" s="1" t="s">
        <v>32</v>
      </c>
      <c r="D62" s="7">
        <v>45827.0</v>
      </c>
      <c r="E62" s="7">
        <v>45859.0</v>
      </c>
      <c r="F62" s="8">
        <v>12.0</v>
      </c>
      <c r="G62" s="8">
        <v>8.0</v>
      </c>
      <c r="H62" s="8">
        <v>1.2</v>
      </c>
      <c r="I62" s="9">
        <v>0.9447</v>
      </c>
      <c r="J62" s="8">
        <v>3.2</v>
      </c>
      <c r="K62" s="8">
        <v>3.3</v>
      </c>
      <c r="L62" s="4" t="s">
        <v>33</v>
      </c>
      <c r="M62" s="8">
        <v>1.0</v>
      </c>
      <c r="N62" s="8">
        <v>8.0</v>
      </c>
      <c r="O62" s="8">
        <v>16.0</v>
      </c>
      <c r="P62" s="9">
        <v>0.3135</v>
      </c>
      <c r="Q62" s="8">
        <v>127.0</v>
      </c>
      <c r="R62" s="10">
        <v>32.0</v>
      </c>
      <c r="S62" s="9">
        <v>0.6667</v>
      </c>
      <c r="T62" s="11">
        <v>10.0</v>
      </c>
    </row>
    <row r="63">
      <c r="A63" s="1" t="s">
        <v>148</v>
      </c>
      <c r="B63" s="1" t="s">
        <v>149</v>
      </c>
      <c r="C63" s="1" t="s">
        <v>28</v>
      </c>
      <c r="D63" s="6">
        <v>45809.0</v>
      </c>
      <c r="E63" s="6">
        <v>45840.0</v>
      </c>
      <c r="F63" s="8">
        <v>23.0</v>
      </c>
      <c r="G63" s="8">
        <v>11.0</v>
      </c>
      <c r="H63" s="8">
        <v>1.1</v>
      </c>
      <c r="I63" s="9">
        <v>0.6398</v>
      </c>
      <c r="J63" s="8">
        <v>3.9</v>
      </c>
      <c r="K63" s="8">
        <v>2.7</v>
      </c>
      <c r="L63" s="4" t="s">
        <v>29</v>
      </c>
      <c r="M63" s="8">
        <v>2.0</v>
      </c>
      <c r="N63" s="8">
        <v>4.0</v>
      </c>
      <c r="O63" s="8">
        <v>33.0</v>
      </c>
      <c r="P63" s="9">
        <v>0.4782</v>
      </c>
      <c r="Q63" s="8">
        <v>188.0</v>
      </c>
      <c r="R63" s="10">
        <v>31.0</v>
      </c>
      <c r="S63" s="9">
        <v>0.4783</v>
      </c>
      <c r="T63" s="11">
        <v>10.0</v>
      </c>
    </row>
    <row r="64">
      <c r="A64" s="1" t="s">
        <v>150</v>
      </c>
      <c r="B64" s="1" t="s">
        <v>151</v>
      </c>
      <c r="C64" s="1" t="s">
        <v>22</v>
      </c>
      <c r="D64" s="7">
        <v>45828.0</v>
      </c>
      <c r="E64" s="7">
        <v>45892.0</v>
      </c>
      <c r="F64" s="8">
        <v>21.0</v>
      </c>
      <c r="G64" s="8">
        <v>13.0</v>
      </c>
      <c r="H64" s="8">
        <v>8.0</v>
      </c>
      <c r="I64" s="9">
        <v>0.7367</v>
      </c>
      <c r="J64" s="8">
        <v>7.7</v>
      </c>
      <c r="K64" s="8">
        <v>8.4</v>
      </c>
      <c r="L64" s="4" t="s">
        <v>23</v>
      </c>
      <c r="M64" s="8">
        <v>1.0</v>
      </c>
      <c r="N64" s="8">
        <v>1.0</v>
      </c>
      <c r="O64" s="8">
        <v>39.0</v>
      </c>
      <c r="P64" s="9">
        <v>0.752</v>
      </c>
      <c r="Q64" s="8">
        <v>143.0</v>
      </c>
      <c r="R64" s="10">
        <v>64.0</v>
      </c>
      <c r="S64" s="9">
        <v>0.619</v>
      </c>
      <c r="T64" s="11">
        <v>3.87</v>
      </c>
    </row>
    <row r="65">
      <c r="A65" s="1" t="s">
        <v>152</v>
      </c>
      <c r="B65" s="1" t="s">
        <v>153</v>
      </c>
      <c r="C65" s="1" t="s">
        <v>22</v>
      </c>
      <c r="D65" s="7">
        <v>45822.0</v>
      </c>
      <c r="E65" s="7">
        <v>45894.0</v>
      </c>
      <c r="F65" s="8">
        <v>26.0</v>
      </c>
      <c r="G65" s="8">
        <v>15.0</v>
      </c>
      <c r="H65" s="8">
        <v>6.7</v>
      </c>
      <c r="I65" s="9">
        <v>0.6457</v>
      </c>
      <c r="J65" s="8">
        <v>5.9</v>
      </c>
      <c r="K65" s="8">
        <v>5.5</v>
      </c>
      <c r="L65" s="4" t="s">
        <v>23</v>
      </c>
      <c r="M65" s="8">
        <v>2.0</v>
      </c>
      <c r="N65" s="8">
        <v>1.0</v>
      </c>
      <c r="O65" s="8">
        <v>43.0</v>
      </c>
      <c r="P65" s="9">
        <v>0.5691</v>
      </c>
      <c r="Q65" s="8">
        <v>177.0</v>
      </c>
      <c r="R65" s="10">
        <v>72.0</v>
      </c>
      <c r="S65" s="9">
        <v>0.5769</v>
      </c>
      <c r="T65" s="11">
        <v>4.31</v>
      </c>
    </row>
    <row r="66">
      <c r="A66" s="1" t="s">
        <v>154</v>
      </c>
      <c r="B66" s="1" t="s">
        <v>155</v>
      </c>
      <c r="C66" s="1" t="s">
        <v>32</v>
      </c>
      <c r="D66" s="7">
        <v>45834.0</v>
      </c>
      <c r="E66" s="6">
        <v>45901.0</v>
      </c>
      <c r="F66" s="8">
        <v>27.0</v>
      </c>
      <c r="G66" s="8">
        <v>25.0</v>
      </c>
      <c r="H66" s="8">
        <v>5.5</v>
      </c>
      <c r="I66" s="9">
        <v>0.9602</v>
      </c>
      <c r="J66" s="8">
        <v>5.7</v>
      </c>
      <c r="K66" s="8">
        <v>5.6</v>
      </c>
      <c r="L66" s="4" t="s">
        <v>33</v>
      </c>
      <c r="M66" s="8">
        <v>4.0</v>
      </c>
      <c r="N66" s="8">
        <v>1.0</v>
      </c>
      <c r="O66" s="8">
        <v>11.0</v>
      </c>
      <c r="P66" s="9">
        <v>0.536</v>
      </c>
      <c r="Q66" s="8">
        <v>146.0</v>
      </c>
      <c r="R66" s="10">
        <v>67.0</v>
      </c>
      <c r="S66" s="9">
        <v>0.9259</v>
      </c>
      <c r="T66" s="11">
        <v>8.42</v>
      </c>
    </row>
    <row r="67">
      <c r="A67" s="1" t="s">
        <v>156</v>
      </c>
      <c r="B67" s="1" t="s">
        <v>157</v>
      </c>
      <c r="C67" s="1" t="s">
        <v>28</v>
      </c>
      <c r="D67" s="7">
        <v>45836.0</v>
      </c>
      <c r="E67" s="7">
        <v>45867.0</v>
      </c>
      <c r="F67" s="8">
        <v>16.0</v>
      </c>
      <c r="G67" s="8">
        <v>14.0</v>
      </c>
      <c r="H67" s="8">
        <v>4.6</v>
      </c>
      <c r="I67" s="9">
        <v>0.96</v>
      </c>
      <c r="J67" s="8">
        <v>7.1</v>
      </c>
      <c r="K67" s="8">
        <v>6.8</v>
      </c>
      <c r="L67" s="4" t="s">
        <v>29</v>
      </c>
      <c r="M67" s="8">
        <v>2.0</v>
      </c>
      <c r="N67" s="8">
        <v>2.0</v>
      </c>
      <c r="O67" s="8">
        <v>25.0</v>
      </c>
      <c r="P67" s="9">
        <v>0.7827</v>
      </c>
      <c r="Q67" s="8">
        <v>184.0</v>
      </c>
      <c r="R67" s="10">
        <v>31.0</v>
      </c>
      <c r="S67" s="9">
        <v>0.875</v>
      </c>
      <c r="T67" s="11">
        <v>9.51</v>
      </c>
    </row>
    <row r="68">
      <c r="A68" s="1" t="s">
        <v>158</v>
      </c>
      <c r="B68" s="1" t="s">
        <v>159</v>
      </c>
      <c r="C68" s="1" t="s">
        <v>32</v>
      </c>
      <c r="D68" s="7">
        <v>45832.0</v>
      </c>
      <c r="E68" s="6">
        <v>45908.0</v>
      </c>
      <c r="F68" s="8">
        <v>20.0</v>
      </c>
      <c r="G68" s="8">
        <v>12.0</v>
      </c>
      <c r="H68" s="8">
        <v>3.7</v>
      </c>
      <c r="I68" s="9">
        <v>0.6331</v>
      </c>
      <c r="J68" s="8">
        <v>2.3</v>
      </c>
      <c r="K68" s="8">
        <v>1.6</v>
      </c>
      <c r="L68" s="4" t="s">
        <v>33</v>
      </c>
      <c r="M68" s="8">
        <v>1.0</v>
      </c>
      <c r="N68" s="8">
        <v>2.0</v>
      </c>
      <c r="O68" s="8">
        <v>13.0</v>
      </c>
      <c r="P68" s="9">
        <v>0.3616</v>
      </c>
      <c r="Q68" s="8">
        <v>141.0</v>
      </c>
      <c r="R68" s="10">
        <v>76.0</v>
      </c>
      <c r="S68" s="9">
        <v>0.6</v>
      </c>
      <c r="T68" s="11">
        <v>8.11</v>
      </c>
    </row>
    <row r="69">
      <c r="A69" s="1" t="s">
        <v>160</v>
      </c>
      <c r="B69" s="1" t="s">
        <v>161</v>
      </c>
      <c r="C69" s="1" t="s">
        <v>32</v>
      </c>
      <c r="D69" s="6">
        <v>45816.0</v>
      </c>
      <c r="E69" s="7">
        <v>45854.0</v>
      </c>
      <c r="F69" s="8">
        <v>26.0</v>
      </c>
      <c r="G69" s="8">
        <v>23.0</v>
      </c>
      <c r="H69" s="8">
        <v>4.0</v>
      </c>
      <c r="I69" s="9">
        <v>0.893</v>
      </c>
      <c r="J69" s="8">
        <v>4.8</v>
      </c>
      <c r="K69" s="8">
        <v>4.6</v>
      </c>
      <c r="L69" s="4" t="s">
        <v>33</v>
      </c>
      <c r="M69" s="8">
        <v>2.0</v>
      </c>
      <c r="N69" s="8">
        <v>2.0</v>
      </c>
      <c r="O69" s="8">
        <v>10.0</v>
      </c>
      <c r="P69" s="9">
        <v>0.4921</v>
      </c>
      <c r="Q69" s="8">
        <v>120.0</v>
      </c>
      <c r="R69" s="10">
        <v>38.0</v>
      </c>
      <c r="S69" s="9">
        <v>0.8846</v>
      </c>
      <c r="T69" s="11">
        <v>10.0</v>
      </c>
    </row>
    <row r="70">
      <c r="A70" s="1" t="s">
        <v>162</v>
      </c>
      <c r="B70" s="1" t="s">
        <v>163</v>
      </c>
      <c r="C70" s="1" t="s">
        <v>32</v>
      </c>
      <c r="D70" s="7">
        <v>45823.0</v>
      </c>
      <c r="E70" s="6">
        <v>45901.0</v>
      </c>
      <c r="F70" s="8">
        <v>46.0</v>
      </c>
      <c r="G70" s="8">
        <v>34.0</v>
      </c>
      <c r="H70" s="8">
        <v>9.7</v>
      </c>
      <c r="I70" s="9">
        <v>0.7982</v>
      </c>
      <c r="J70" s="8">
        <v>4.2</v>
      </c>
      <c r="K70" s="8">
        <v>4.7</v>
      </c>
      <c r="L70" s="4" t="s">
        <v>33</v>
      </c>
      <c r="M70" s="8">
        <v>4.0</v>
      </c>
      <c r="N70" s="8">
        <v>2.0</v>
      </c>
      <c r="O70" s="8">
        <v>20.0</v>
      </c>
      <c r="P70" s="9">
        <v>0.4705</v>
      </c>
      <c r="Q70" s="8">
        <v>199.0</v>
      </c>
      <c r="R70" s="10">
        <v>78.0</v>
      </c>
      <c r="S70" s="9">
        <v>0.7391</v>
      </c>
      <c r="T70" s="11">
        <v>3.81</v>
      </c>
    </row>
    <row r="71">
      <c r="A71" s="1" t="s">
        <v>164</v>
      </c>
      <c r="B71" s="1" t="s">
        <v>165</v>
      </c>
      <c r="C71" s="1" t="s">
        <v>28</v>
      </c>
      <c r="D71" s="7">
        <v>45822.0</v>
      </c>
      <c r="E71" s="7">
        <v>45858.0</v>
      </c>
      <c r="F71" s="8">
        <v>35.0</v>
      </c>
      <c r="G71" s="8">
        <v>25.0</v>
      </c>
      <c r="H71" s="8">
        <v>1.4</v>
      </c>
      <c r="I71" s="9">
        <v>0.9492</v>
      </c>
      <c r="J71" s="8">
        <v>5.6</v>
      </c>
      <c r="K71" s="8">
        <v>4.7</v>
      </c>
      <c r="L71" s="4" t="s">
        <v>29</v>
      </c>
      <c r="M71" s="8">
        <v>4.0</v>
      </c>
      <c r="N71" s="8">
        <v>6.0</v>
      </c>
      <c r="O71" s="8">
        <v>27.0</v>
      </c>
      <c r="P71" s="9">
        <v>0.6903</v>
      </c>
      <c r="Q71" s="8">
        <v>126.0</v>
      </c>
      <c r="R71" s="10">
        <v>36.0</v>
      </c>
      <c r="S71" s="9">
        <v>0.7143</v>
      </c>
      <c r="T71" s="11">
        <v>10.0</v>
      </c>
    </row>
    <row r="72">
      <c r="A72" s="1" t="s">
        <v>166</v>
      </c>
      <c r="B72" s="1" t="s">
        <v>167</v>
      </c>
      <c r="C72" s="1" t="s">
        <v>32</v>
      </c>
      <c r="D72" s="7">
        <v>45822.0</v>
      </c>
      <c r="E72" s="7">
        <v>45868.0</v>
      </c>
      <c r="F72" s="8">
        <v>38.0</v>
      </c>
      <c r="G72" s="8">
        <v>26.0</v>
      </c>
      <c r="H72" s="8">
        <v>8.6</v>
      </c>
      <c r="I72" s="9">
        <v>0.7189</v>
      </c>
      <c r="J72" s="8">
        <v>4.4</v>
      </c>
      <c r="K72" s="8">
        <v>5.1</v>
      </c>
      <c r="L72" s="4" t="s">
        <v>33</v>
      </c>
      <c r="M72" s="8">
        <v>4.0</v>
      </c>
      <c r="N72" s="8">
        <v>1.0</v>
      </c>
      <c r="O72" s="8">
        <v>25.0</v>
      </c>
      <c r="P72" s="9">
        <v>0.4142</v>
      </c>
      <c r="Q72" s="8">
        <v>143.0</v>
      </c>
      <c r="R72" s="10">
        <v>46.0</v>
      </c>
      <c r="S72" s="9">
        <v>0.6842</v>
      </c>
      <c r="T72" s="11">
        <v>3.98</v>
      </c>
    </row>
    <row r="73">
      <c r="A73" s="1" t="s">
        <v>168</v>
      </c>
      <c r="B73" s="1" t="s">
        <v>169</v>
      </c>
      <c r="C73" s="1" t="s">
        <v>32</v>
      </c>
      <c r="D73" s="6">
        <v>45809.0</v>
      </c>
      <c r="E73" s="7">
        <v>45856.0</v>
      </c>
      <c r="F73" s="8">
        <v>32.0</v>
      </c>
      <c r="G73" s="8">
        <v>18.0</v>
      </c>
      <c r="H73" s="8">
        <v>5.9</v>
      </c>
      <c r="I73" s="9">
        <v>0.692</v>
      </c>
      <c r="J73" s="8">
        <v>3.3</v>
      </c>
      <c r="K73" s="8">
        <v>2.8</v>
      </c>
      <c r="L73" s="4" t="s">
        <v>33</v>
      </c>
      <c r="M73" s="8">
        <v>1.0</v>
      </c>
      <c r="N73" s="8">
        <v>2.0</v>
      </c>
      <c r="O73" s="8">
        <v>22.0</v>
      </c>
      <c r="P73" s="9">
        <v>0.3822</v>
      </c>
      <c r="Q73" s="8">
        <v>161.0</v>
      </c>
      <c r="R73" s="10">
        <v>47.0</v>
      </c>
      <c r="S73" s="9">
        <v>0.5625</v>
      </c>
      <c r="T73" s="11">
        <v>4.77</v>
      </c>
    </row>
    <row r="74">
      <c r="A74" s="1" t="s">
        <v>170</v>
      </c>
      <c r="B74" s="1" t="s">
        <v>171</v>
      </c>
      <c r="C74" s="1" t="s">
        <v>28</v>
      </c>
      <c r="D74" s="7">
        <v>45820.0</v>
      </c>
      <c r="E74" s="6">
        <v>45902.0</v>
      </c>
      <c r="F74" s="8">
        <v>43.0</v>
      </c>
      <c r="G74" s="8">
        <v>40.0</v>
      </c>
      <c r="H74" s="8">
        <v>8.2</v>
      </c>
      <c r="I74" s="9">
        <v>0.9507</v>
      </c>
      <c r="J74" s="8">
        <v>7.2</v>
      </c>
      <c r="K74" s="8">
        <v>6.8</v>
      </c>
      <c r="L74" s="4" t="s">
        <v>29</v>
      </c>
      <c r="M74" s="8">
        <v>4.0</v>
      </c>
      <c r="N74" s="8">
        <v>0.0</v>
      </c>
      <c r="O74" s="8">
        <v>21.0</v>
      </c>
      <c r="P74" s="9">
        <v>0.7905</v>
      </c>
      <c r="Q74" s="8">
        <v>135.0</v>
      </c>
      <c r="R74" s="10">
        <v>82.0</v>
      </c>
      <c r="S74" s="9">
        <v>0.9302</v>
      </c>
      <c r="T74" s="11">
        <v>5.67</v>
      </c>
    </row>
    <row r="75">
      <c r="A75" s="1" t="s">
        <v>172</v>
      </c>
      <c r="B75" s="1" t="s">
        <v>173</v>
      </c>
      <c r="C75" s="1" t="s">
        <v>22</v>
      </c>
      <c r="D75" s="6">
        <v>45812.0</v>
      </c>
      <c r="E75" s="7">
        <v>45891.0</v>
      </c>
      <c r="F75" s="8">
        <v>48.0</v>
      </c>
      <c r="G75" s="8">
        <v>46.0</v>
      </c>
      <c r="H75" s="8">
        <v>1.0</v>
      </c>
      <c r="I75" s="9">
        <v>0.9495</v>
      </c>
      <c r="J75" s="8">
        <v>9.8</v>
      </c>
      <c r="K75" s="8">
        <v>8.5</v>
      </c>
      <c r="L75" s="4" t="s">
        <v>23</v>
      </c>
      <c r="M75" s="8">
        <v>5.0</v>
      </c>
      <c r="N75" s="8">
        <v>1.0</v>
      </c>
      <c r="O75" s="8">
        <v>44.0</v>
      </c>
      <c r="P75" s="9">
        <v>0.965</v>
      </c>
      <c r="Q75" s="8">
        <v>181.0</v>
      </c>
      <c r="R75" s="10">
        <v>79.0</v>
      </c>
      <c r="S75" s="9">
        <v>0.9583</v>
      </c>
      <c r="T75" s="11">
        <v>10.0</v>
      </c>
    </row>
    <row r="76">
      <c r="A76" s="1" t="s">
        <v>174</v>
      </c>
      <c r="B76" s="1" t="s">
        <v>175</v>
      </c>
      <c r="C76" s="1" t="s">
        <v>22</v>
      </c>
      <c r="D76" s="7">
        <v>45832.0</v>
      </c>
      <c r="E76" s="6">
        <v>45907.0</v>
      </c>
      <c r="F76" s="8">
        <v>24.0</v>
      </c>
      <c r="G76" s="8">
        <v>16.0</v>
      </c>
      <c r="H76" s="8">
        <v>7.1</v>
      </c>
      <c r="I76" s="9">
        <v>0.8356</v>
      </c>
      <c r="J76" s="8">
        <v>7.9</v>
      </c>
      <c r="K76" s="8">
        <v>8.6</v>
      </c>
      <c r="L76" s="4" t="s">
        <v>23</v>
      </c>
      <c r="M76" s="8">
        <v>3.0</v>
      </c>
      <c r="N76" s="8">
        <v>0.0</v>
      </c>
      <c r="O76" s="8">
        <v>45.0</v>
      </c>
      <c r="P76" s="9">
        <v>0.7793</v>
      </c>
      <c r="Q76" s="8">
        <v>181.0</v>
      </c>
      <c r="R76" s="10">
        <v>75.0</v>
      </c>
      <c r="S76" s="9">
        <v>0.6667</v>
      </c>
      <c r="T76" s="11">
        <v>4.69</v>
      </c>
    </row>
    <row r="77">
      <c r="A77" s="1" t="s">
        <v>176</v>
      </c>
      <c r="B77" s="1" t="s">
        <v>177</v>
      </c>
      <c r="C77" s="1" t="s">
        <v>28</v>
      </c>
      <c r="D77" s="7">
        <v>45825.0</v>
      </c>
      <c r="E77" s="6">
        <v>45877.0</v>
      </c>
      <c r="F77" s="8">
        <v>19.0</v>
      </c>
      <c r="G77" s="8">
        <v>12.0</v>
      </c>
      <c r="H77" s="8">
        <v>1.3</v>
      </c>
      <c r="I77" s="9">
        <v>0.8454</v>
      </c>
      <c r="J77" s="8">
        <v>5.1</v>
      </c>
      <c r="K77" s="8">
        <v>5.5</v>
      </c>
      <c r="L77" s="4" t="s">
        <v>29</v>
      </c>
      <c r="M77" s="8">
        <v>1.0</v>
      </c>
      <c r="N77" s="8">
        <v>4.0</v>
      </c>
      <c r="O77" s="8">
        <v>26.0</v>
      </c>
      <c r="P77" s="9">
        <v>0.5697</v>
      </c>
      <c r="Q77" s="8">
        <v>139.0</v>
      </c>
      <c r="R77" s="10">
        <v>52.0</v>
      </c>
      <c r="S77" s="9">
        <v>0.6316</v>
      </c>
      <c r="T77" s="11">
        <v>10.0</v>
      </c>
    </row>
    <row r="78">
      <c r="A78" s="1" t="s">
        <v>178</v>
      </c>
      <c r="B78" s="1" t="s">
        <v>179</v>
      </c>
      <c r="C78" s="1" t="s">
        <v>32</v>
      </c>
      <c r="D78" s="7">
        <v>45837.0</v>
      </c>
      <c r="E78" s="7">
        <v>45894.0</v>
      </c>
      <c r="F78" s="8">
        <v>34.0</v>
      </c>
      <c r="G78" s="8">
        <v>28.0</v>
      </c>
      <c r="H78" s="8">
        <v>1.8</v>
      </c>
      <c r="I78" s="9">
        <v>0.998</v>
      </c>
      <c r="J78" s="8">
        <v>6.0</v>
      </c>
      <c r="K78" s="8">
        <v>5.7</v>
      </c>
      <c r="L78" s="4" t="s">
        <v>33</v>
      </c>
      <c r="M78" s="8">
        <v>3.0</v>
      </c>
      <c r="N78" s="8">
        <v>6.0</v>
      </c>
      <c r="O78" s="8">
        <v>19.0</v>
      </c>
      <c r="P78" s="9">
        <v>0.6292</v>
      </c>
      <c r="Q78" s="8">
        <v>186.0</v>
      </c>
      <c r="R78" s="10">
        <v>57.0</v>
      </c>
      <c r="S78" s="9">
        <v>0.8235</v>
      </c>
      <c r="T78" s="11">
        <v>10.0</v>
      </c>
    </row>
    <row r="79">
      <c r="A79" s="1" t="s">
        <v>180</v>
      </c>
      <c r="B79" s="1" t="s">
        <v>181</v>
      </c>
      <c r="C79" s="1" t="s">
        <v>32</v>
      </c>
      <c r="D79" s="7">
        <v>45835.0</v>
      </c>
      <c r="E79" s="6">
        <v>45872.0</v>
      </c>
      <c r="F79" s="8">
        <v>24.0</v>
      </c>
      <c r="G79" s="8">
        <v>23.0</v>
      </c>
      <c r="H79" s="8">
        <v>1.8</v>
      </c>
      <c r="I79" s="9">
        <v>0.9823</v>
      </c>
      <c r="J79" s="8">
        <v>7.7</v>
      </c>
      <c r="K79" s="8">
        <v>6.5</v>
      </c>
      <c r="L79" s="4" t="s">
        <v>33</v>
      </c>
      <c r="M79" s="8">
        <v>2.0</v>
      </c>
      <c r="N79" s="8">
        <v>0.0</v>
      </c>
      <c r="O79" s="8">
        <v>21.0</v>
      </c>
      <c r="P79" s="9">
        <v>0.7071</v>
      </c>
      <c r="Q79" s="8">
        <v>167.0</v>
      </c>
      <c r="R79" s="10">
        <v>37.0</v>
      </c>
      <c r="S79" s="9">
        <v>0.9583</v>
      </c>
      <c r="T79" s="11">
        <v>10.0</v>
      </c>
    </row>
    <row r="80">
      <c r="A80" s="1" t="s">
        <v>182</v>
      </c>
      <c r="B80" s="1" t="s">
        <v>183</v>
      </c>
      <c r="C80" s="1" t="s">
        <v>22</v>
      </c>
      <c r="D80" s="6">
        <v>45816.0</v>
      </c>
      <c r="E80" s="7">
        <v>45879.0</v>
      </c>
      <c r="F80" s="8">
        <v>37.0</v>
      </c>
      <c r="G80" s="8">
        <v>20.0</v>
      </c>
      <c r="H80" s="8">
        <v>6.3</v>
      </c>
      <c r="I80" s="9">
        <v>0.7984</v>
      </c>
      <c r="J80" s="8">
        <v>6.7</v>
      </c>
      <c r="K80" s="8">
        <v>6.4</v>
      </c>
      <c r="L80" s="4" t="s">
        <v>23</v>
      </c>
      <c r="M80" s="8">
        <v>3.0</v>
      </c>
      <c r="N80" s="8">
        <v>1.0</v>
      </c>
      <c r="O80" s="8">
        <v>35.0</v>
      </c>
      <c r="P80" s="9">
        <v>0.7222</v>
      </c>
      <c r="Q80" s="8">
        <v>196.0</v>
      </c>
      <c r="R80" s="10">
        <v>63.0</v>
      </c>
      <c r="S80" s="9">
        <v>0.5405</v>
      </c>
      <c r="T80" s="11">
        <v>4.29</v>
      </c>
    </row>
    <row r="81">
      <c r="A81" s="1" t="s">
        <v>184</v>
      </c>
      <c r="B81" s="1" t="s">
        <v>185</v>
      </c>
      <c r="C81" s="1" t="s">
        <v>22</v>
      </c>
      <c r="D81" s="6">
        <v>45815.0</v>
      </c>
      <c r="E81" s="6">
        <v>45904.0</v>
      </c>
      <c r="F81" s="8">
        <v>50.0</v>
      </c>
      <c r="G81" s="8">
        <v>27.0</v>
      </c>
      <c r="H81" s="8">
        <v>9.4</v>
      </c>
      <c r="I81" s="9">
        <v>0.7068</v>
      </c>
      <c r="J81" s="8">
        <v>6.0</v>
      </c>
      <c r="K81" s="8">
        <v>6.2</v>
      </c>
      <c r="L81" s="4" t="s">
        <v>23</v>
      </c>
      <c r="M81" s="8">
        <v>2.0</v>
      </c>
      <c r="N81" s="8">
        <v>2.0</v>
      </c>
      <c r="O81" s="8">
        <v>35.0</v>
      </c>
      <c r="P81" s="9">
        <v>0.5685</v>
      </c>
      <c r="Q81" s="8">
        <v>164.0</v>
      </c>
      <c r="R81" s="10">
        <v>89.0</v>
      </c>
      <c r="S81" s="9">
        <v>0.54</v>
      </c>
      <c r="T81" s="11">
        <v>2.87</v>
      </c>
    </row>
    <row r="82">
      <c r="A82" s="1" t="s">
        <v>186</v>
      </c>
      <c r="B82" s="1" t="s">
        <v>187</v>
      </c>
      <c r="C82" s="1" t="s">
        <v>28</v>
      </c>
      <c r="D82" s="7">
        <v>45820.0</v>
      </c>
      <c r="E82" s="6">
        <v>45878.0</v>
      </c>
      <c r="F82" s="8">
        <v>41.0</v>
      </c>
      <c r="G82" s="8">
        <v>38.0</v>
      </c>
      <c r="H82" s="8">
        <v>2.4</v>
      </c>
      <c r="I82" s="9">
        <v>0.9487</v>
      </c>
      <c r="J82" s="8">
        <v>7.6</v>
      </c>
      <c r="K82" s="8">
        <v>7.9</v>
      </c>
      <c r="L82" s="4" t="s">
        <v>29</v>
      </c>
      <c r="M82" s="8">
        <v>5.0</v>
      </c>
      <c r="N82" s="8">
        <v>1.0</v>
      </c>
      <c r="O82" s="8">
        <v>38.0</v>
      </c>
      <c r="P82" s="9">
        <v>0.78</v>
      </c>
      <c r="Q82" s="8">
        <v>185.0</v>
      </c>
      <c r="R82" s="10">
        <v>58.0</v>
      </c>
      <c r="S82" s="9">
        <v>0.9268</v>
      </c>
      <c r="T82" s="11">
        <v>10.0</v>
      </c>
    </row>
    <row r="83">
      <c r="A83" s="1" t="s">
        <v>188</v>
      </c>
      <c r="B83" s="1" t="s">
        <v>189</v>
      </c>
      <c r="C83" s="1" t="s">
        <v>32</v>
      </c>
      <c r="D83" s="6">
        <v>45817.0</v>
      </c>
      <c r="E83" s="7">
        <v>45856.0</v>
      </c>
      <c r="F83" s="8">
        <v>43.0</v>
      </c>
      <c r="G83" s="8">
        <v>28.0</v>
      </c>
      <c r="H83" s="8">
        <v>8.0</v>
      </c>
      <c r="I83" s="9">
        <v>0.7148</v>
      </c>
      <c r="J83" s="8">
        <v>5.0</v>
      </c>
      <c r="K83" s="8">
        <v>5.2</v>
      </c>
      <c r="L83" s="4" t="s">
        <v>33</v>
      </c>
      <c r="M83" s="8">
        <v>4.0</v>
      </c>
      <c r="N83" s="8">
        <v>2.0</v>
      </c>
      <c r="O83" s="8">
        <v>23.0</v>
      </c>
      <c r="P83" s="9">
        <v>0.4799</v>
      </c>
      <c r="Q83" s="8">
        <v>182.0</v>
      </c>
      <c r="R83" s="10">
        <v>39.0</v>
      </c>
      <c r="S83" s="9">
        <v>0.6512</v>
      </c>
      <c r="T83" s="11">
        <v>4.07</v>
      </c>
    </row>
    <row r="84">
      <c r="A84" s="1" t="s">
        <v>190</v>
      </c>
      <c r="B84" s="1" t="s">
        <v>191</v>
      </c>
      <c r="C84" s="1" t="s">
        <v>28</v>
      </c>
      <c r="D84" s="7">
        <v>45818.0</v>
      </c>
      <c r="E84" s="7">
        <v>45864.0</v>
      </c>
      <c r="F84" s="8">
        <v>13.0</v>
      </c>
      <c r="G84" s="8">
        <v>9.0</v>
      </c>
      <c r="H84" s="8">
        <v>9.5</v>
      </c>
      <c r="I84" s="9">
        <v>0.7569</v>
      </c>
      <c r="J84" s="8">
        <v>5.7</v>
      </c>
      <c r="K84" s="8">
        <v>6.0</v>
      </c>
      <c r="L84" s="4" t="s">
        <v>29</v>
      </c>
      <c r="M84" s="8">
        <v>1.0</v>
      </c>
      <c r="N84" s="8">
        <v>1.0</v>
      </c>
      <c r="O84" s="8">
        <v>34.0</v>
      </c>
      <c r="P84" s="9">
        <v>0.5398</v>
      </c>
      <c r="Q84" s="8">
        <v>184.0</v>
      </c>
      <c r="R84" s="10">
        <v>46.0</v>
      </c>
      <c r="S84" s="9">
        <v>0.6923</v>
      </c>
      <c r="T84" s="11">
        <v>3.64</v>
      </c>
    </row>
    <row r="85">
      <c r="A85" s="1" t="s">
        <v>192</v>
      </c>
      <c r="B85" s="1" t="s">
        <v>193</v>
      </c>
      <c r="C85" s="1" t="s">
        <v>32</v>
      </c>
      <c r="D85" s="7">
        <v>45825.0</v>
      </c>
      <c r="E85" s="7">
        <v>45858.0</v>
      </c>
      <c r="F85" s="8">
        <v>20.0</v>
      </c>
      <c r="G85" s="8">
        <v>10.0</v>
      </c>
      <c r="H85" s="8">
        <v>8.4</v>
      </c>
      <c r="I85" s="9">
        <v>0.6232</v>
      </c>
      <c r="J85" s="8">
        <v>3.0</v>
      </c>
      <c r="K85" s="8">
        <v>2.9</v>
      </c>
      <c r="L85" s="4" t="s">
        <v>33</v>
      </c>
      <c r="M85" s="8">
        <v>2.0</v>
      </c>
      <c r="N85" s="8">
        <v>6.0</v>
      </c>
      <c r="O85" s="8">
        <v>27.0</v>
      </c>
      <c r="P85" s="9">
        <v>0.2388</v>
      </c>
      <c r="Q85" s="8">
        <v>132.0</v>
      </c>
      <c r="R85" s="10">
        <v>33.0</v>
      </c>
      <c r="S85" s="9">
        <v>0.5</v>
      </c>
      <c r="T85" s="11">
        <v>2.98</v>
      </c>
    </row>
    <row r="86">
      <c r="A86" s="1" t="s">
        <v>194</v>
      </c>
      <c r="B86" s="1" t="s">
        <v>195</v>
      </c>
      <c r="C86" s="1" t="s">
        <v>32</v>
      </c>
      <c r="D86" s="7">
        <v>45835.0</v>
      </c>
      <c r="E86" s="6">
        <v>45901.0</v>
      </c>
      <c r="F86" s="8">
        <v>23.0</v>
      </c>
      <c r="G86" s="8">
        <v>17.0</v>
      </c>
      <c r="H86" s="8">
        <v>8.8</v>
      </c>
      <c r="I86" s="9">
        <v>0.9417</v>
      </c>
      <c r="J86" s="8">
        <v>5.3</v>
      </c>
      <c r="K86" s="8">
        <v>5.6</v>
      </c>
      <c r="L86" s="4" t="s">
        <v>33</v>
      </c>
      <c r="M86" s="8">
        <v>2.0</v>
      </c>
      <c r="N86" s="8">
        <v>3.0</v>
      </c>
      <c r="O86" s="8">
        <v>24.0</v>
      </c>
      <c r="P86" s="9">
        <v>0.5422</v>
      </c>
      <c r="Q86" s="8">
        <v>138.0</v>
      </c>
      <c r="R86" s="10">
        <v>66.0</v>
      </c>
      <c r="S86" s="9">
        <v>0.7391</v>
      </c>
      <c r="T86" s="11">
        <v>4.2</v>
      </c>
    </row>
    <row r="87">
      <c r="A87" s="1" t="s">
        <v>196</v>
      </c>
      <c r="B87" s="1" t="s">
        <v>197</v>
      </c>
      <c r="C87" s="1" t="s">
        <v>28</v>
      </c>
      <c r="D87" s="7">
        <v>45820.0</v>
      </c>
      <c r="E87" s="7">
        <v>45864.0</v>
      </c>
      <c r="F87" s="8">
        <v>47.0</v>
      </c>
      <c r="G87" s="8">
        <v>28.0</v>
      </c>
      <c r="H87" s="8">
        <v>1.3</v>
      </c>
      <c r="I87" s="9">
        <v>0.7097</v>
      </c>
      <c r="J87" s="8">
        <v>4.4</v>
      </c>
      <c r="K87" s="8">
        <v>3.5</v>
      </c>
      <c r="L87" s="4" t="s">
        <v>29</v>
      </c>
      <c r="M87" s="8">
        <v>5.0</v>
      </c>
      <c r="N87" s="8">
        <v>1.0</v>
      </c>
      <c r="O87" s="8">
        <v>22.0</v>
      </c>
      <c r="P87" s="9">
        <v>0.5122</v>
      </c>
      <c r="Q87" s="8">
        <v>191.0</v>
      </c>
      <c r="R87" s="10">
        <v>44.0</v>
      </c>
      <c r="S87" s="9">
        <v>0.5957</v>
      </c>
      <c r="T87" s="11">
        <v>10.0</v>
      </c>
    </row>
    <row r="88">
      <c r="A88" s="1" t="s">
        <v>198</v>
      </c>
      <c r="B88" s="1" t="s">
        <v>199</v>
      </c>
      <c r="C88" s="1" t="s">
        <v>32</v>
      </c>
      <c r="D88" s="7">
        <v>45823.0</v>
      </c>
      <c r="E88" s="7">
        <v>45898.0</v>
      </c>
      <c r="F88" s="8">
        <v>36.0</v>
      </c>
      <c r="G88" s="8">
        <v>22.0</v>
      </c>
      <c r="H88" s="8">
        <v>6.6</v>
      </c>
      <c r="I88" s="9">
        <v>0.6637</v>
      </c>
      <c r="J88" s="8">
        <v>4.2</v>
      </c>
      <c r="K88" s="8">
        <v>4.3</v>
      </c>
      <c r="L88" s="4" t="s">
        <v>33</v>
      </c>
      <c r="M88" s="8">
        <v>2.0</v>
      </c>
      <c r="N88" s="8">
        <v>1.0</v>
      </c>
      <c r="O88" s="8">
        <v>26.0</v>
      </c>
      <c r="P88" s="9">
        <v>0.4555</v>
      </c>
      <c r="Q88" s="8">
        <v>197.0</v>
      </c>
      <c r="R88" s="10">
        <v>75.0</v>
      </c>
      <c r="S88" s="9">
        <v>0.6111</v>
      </c>
      <c r="T88" s="11">
        <v>4.63</v>
      </c>
    </row>
    <row r="89">
      <c r="A89" s="1" t="s">
        <v>200</v>
      </c>
      <c r="B89" s="1" t="s">
        <v>201</v>
      </c>
      <c r="C89" s="1" t="s">
        <v>32</v>
      </c>
      <c r="D89" s="7">
        <v>45829.0</v>
      </c>
      <c r="E89" s="7">
        <v>45866.0</v>
      </c>
      <c r="F89" s="8">
        <v>31.0</v>
      </c>
      <c r="G89" s="8">
        <v>20.0</v>
      </c>
      <c r="H89" s="8">
        <v>8.2</v>
      </c>
      <c r="I89" s="9">
        <v>0.8393</v>
      </c>
      <c r="J89" s="8">
        <v>4.9</v>
      </c>
      <c r="K89" s="8">
        <v>4.6</v>
      </c>
      <c r="L89" s="4" t="s">
        <v>33</v>
      </c>
      <c r="M89" s="8">
        <v>2.0</v>
      </c>
      <c r="N89" s="8">
        <v>2.0</v>
      </c>
      <c r="O89" s="8">
        <v>21.0</v>
      </c>
      <c r="P89" s="9">
        <v>0.3955</v>
      </c>
      <c r="Q89" s="8">
        <v>183.0</v>
      </c>
      <c r="R89" s="10">
        <v>37.0</v>
      </c>
      <c r="S89" s="9">
        <v>0.6452</v>
      </c>
      <c r="T89" s="11">
        <v>3.93</v>
      </c>
    </row>
    <row r="90">
      <c r="A90" s="1" t="s">
        <v>202</v>
      </c>
      <c r="B90" s="1" t="s">
        <v>203</v>
      </c>
      <c r="C90" s="1" t="s">
        <v>28</v>
      </c>
      <c r="D90" s="7">
        <v>45824.0</v>
      </c>
      <c r="E90" s="7">
        <v>45868.0</v>
      </c>
      <c r="F90" s="8">
        <v>42.0</v>
      </c>
      <c r="G90" s="8">
        <v>29.0</v>
      </c>
      <c r="H90" s="8">
        <v>2.3</v>
      </c>
      <c r="I90" s="9">
        <v>0.7582</v>
      </c>
      <c r="J90" s="8">
        <v>6.2</v>
      </c>
      <c r="K90" s="8">
        <v>6.3</v>
      </c>
      <c r="L90" s="4" t="s">
        <v>29</v>
      </c>
      <c r="M90" s="8">
        <v>4.0</v>
      </c>
      <c r="N90" s="8">
        <v>2.0</v>
      </c>
      <c r="O90" s="8">
        <v>34.0</v>
      </c>
      <c r="P90" s="9">
        <v>0.5744</v>
      </c>
      <c r="Q90" s="8">
        <v>139.0</v>
      </c>
      <c r="R90" s="10">
        <v>44.0</v>
      </c>
      <c r="S90" s="9">
        <v>0.6905</v>
      </c>
      <c r="T90" s="11">
        <v>10.0</v>
      </c>
    </row>
    <row r="91">
      <c r="A91" s="1" t="s">
        <v>204</v>
      </c>
      <c r="B91" s="1" t="s">
        <v>205</v>
      </c>
      <c r="C91" s="1" t="s">
        <v>28</v>
      </c>
      <c r="D91" s="7">
        <v>45834.0</v>
      </c>
      <c r="E91" s="6">
        <v>45902.0</v>
      </c>
      <c r="F91" s="8">
        <v>42.0</v>
      </c>
      <c r="G91" s="8">
        <v>27.0</v>
      </c>
      <c r="H91" s="8">
        <v>4.2</v>
      </c>
      <c r="I91" s="9">
        <v>0.7384</v>
      </c>
      <c r="J91" s="8">
        <v>5.6</v>
      </c>
      <c r="K91" s="8">
        <v>4.9</v>
      </c>
      <c r="L91" s="4" t="s">
        <v>29</v>
      </c>
      <c r="M91" s="8">
        <v>3.0</v>
      </c>
      <c r="N91" s="8">
        <v>0.0</v>
      </c>
      <c r="O91" s="8">
        <v>27.0</v>
      </c>
      <c r="P91" s="9">
        <v>0.5459</v>
      </c>
      <c r="Q91" s="8">
        <v>134.0</v>
      </c>
      <c r="R91" s="10">
        <v>68.0</v>
      </c>
      <c r="S91" s="9">
        <v>0.6429</v>
      </c>
      <c r="T91" s="11">
        <v>7.65</v>
      </c>
    </row>
    <row r="92">
      <c r="A92" s="1" t="s">
        <v>206</v>
      </c>
      <c r="B92" s="1" t="s">
        <v>207</v>
      </c>
      <c r="C92" s="1" t="s">
        <v>28</v>
      </c>
      <c r="D92" s="7">
        <v>45826.0</v>
      </c>
      <c r="E92" s="7">
        <v>45863.0</v>
      </c>
      <c r="F92" s="8">
        <v>20.0</v>
      </c>
      <c r="G92" s="8">
        <v>14.0</v>
      </c>
      <c r="H92" s="8">
        <v>6.5</v>
      </c>
      <c r="I92" s="9">
        <v>0.6801</v>
      </c>
      <c r="J92" s="8">
        <v>6.3</v>
      </c>
      <c r="K92" s="8">
        <v>6.6</v>
      </c>
      <c r="L92" s="4" t="s">
        <v>29</v>
      </c>
      <c r="M92" s="8">
        <v>2.0</v>
      </c>
      <c r="N92" s="8">
        <v>0.0</v>
      </c>
      <c r="O92" s="8">
        <v>31.0</v>
      </c>
      <c r="P92" s="9">
        <v>0.6214</v>
      </c>
      <c r="Q92" s="8">
        <v>181.0</v>
      </c>
      <c r="R92" s="10">
        <v>37.0</v>
      </c>
      <c r="S92" s="9">
        <v>0.7</v>
      </c>
      <c r="T92" s="11">
        <v>5.38</v>
      </c>
    </row>
    <row r="93">
      <c r="A93" s="1" t="s">
        <v>208</v>
      </c>
      <c r="B93" s="1" t="s">
        <v>209</v>
      </c>
      <c r="C93" s="1" t="s">
        <v>22</v>
      </c>
      <c r="D93" s="7">
        <v>45826.0</v>
      </c>
      <c r="E93" s="7">
        <v>45866.0</v>
      </c>
      <c r="F93" s="8">
        <v>15.0</v>
      </c>
      <c r="G93" s="8">
        <v>11.0</v>
      </c>
      <c r="H93" s="8">
        <v>6.8</v>
      </c>
      <c r="I93" s="9">
        <v>0.8449</v>
      </c>
      <c r="J93" s="8">
        <v>8.6</v>
      </c>
      <c r="K93" s="8">
        <v>9.8</v>
      </c>
      <c r="L93" s="4" t="s">
        <v>23</v>
      </c>
      <c r="M93" s="8">
        <v>1.0</v>
      </c>
      <c r="N93" s="8">
        <v>1.0</v>
      </c>
      <c r="O93" s="8">
        <v>36.0</v>
      </c>
      <c r="P93" s="9">
        <v>0.8699</v>
      </c>
      <c r="Q93" s="8">
        <v>131.0</v>
      </c>
      <c r="R93" s="10">
        <v>40.0</v>
      </c>
      <c r="S93" s="9">
        <v>0.7333</v>
      </c>
      <c r="T93" s="11">
        <v>5.39</v>
      </c>
    </row>
    <row r="94">
      <c r="A94" s="1" t="s">
        <v>210</v>
      </c>
      <c r="B94" s="1" t="s">
        <v>211</v>
      </c>
      <c r="C94" s="1" t="s">
        <v>22</v>
      </c>
      <c r="D94" s="7">
        <v>45827.0</v>
      </c>
      <c r="E94" s="6">
        <v>45874.0</v>
      </c>
      <c r="F94" s="8">
        <v>28.0</v>
      </c>
      <c r="G94" s="8">
        <v>18.0</v>
      </c>
      <c r="H94" s="8">
        <v>6.9</v>
      </c>
      <c r="I94" s="9">
        <v>0.6988</v>
      </c>
      <c r="J94" s="8">
        <v>6.9</v>
      </c>
      <c r="K94" s="8">
        <v>9.0</v>
      </c>
      <c r="L94" s="4" t="s">
        <v>23</v>
      </c>
      <c r="M94" s="8">
        <v>2.0</v>
      </c>
      <c r="N94" s="8">
        <v>1.0</v>
      </c>
      <c r="O94" s="8">
        <v>42.0</v>
      </c>
      <c r="P94" s="9">
        <v>0.6852</v>
      </c>
      <c r="Q94" s="8">
        <v>156.0</v>
      </c>
      <c r="R94" s="10">
        <v>47.0</v>
      </c>
      <c r="S94" s="9">
        <v>0.6429</v>
      </c>
      <c r="T94" s="11">
        <v>4.66</v>
      </c>
    </row>
    <row r="95">
      <c r="A95" s="1" t="s">
        <v>212</v>
      </c>
      <c r="B95" s="1" t="s">
        <v>213</v>
      </c>
      <c r="C95" s="1" t="s">
        <v>28</v>
      </c>
      <c r="D95" s="7">
        <v>45834.0</v>
      </c>
      <c r="E95" s="7">
        <v>45884.0</v>
      </c>
      <c r="F95" s="8">
        <v>44.0</v>
      </c>
      <c r="G95" s="8">
        <v>39.0</v>
      </c>
      <c r="H95" s="8">
        <v>2.8</v>
      </c>
      <c r="I95" s="9">
        <v>0.9985</v>
      </c>
      <c r="J95" s="8">
        <v>6.9</v>
      </c>
      <c r="K95" s="8">
        <v>6.7</v>
      </c>
      <c r="L95" s="4" t="s">
        <v>29</v>
      </c>
      <c r="M95" s="8">
        <v>4.0</v>
      </c>
      <c r="N95" s="8">
        <v>1.0</v>
      </c>
      <c r="O95" s="8">
        <v>28.0</v>
      </c>
      <c r="P95" s="9">
        <v>0.7076</v>
      </c>
      <c r="Q95" s="8">
        <v>143.0</v>
      </c>
      <c r="R95" s="10">
        <v>50.0</v>
      </c>
      <c r="S95" s="9">
        <v>0.8864</v>
      </c>
      <c r="T95" s="11">
        <v>10.0</v>
      </c>
    </row>
    <row r="96">
      <c r="A96" s="1" t="s">
        <v>214</v>
      </c>
      <c r="B96" s="1" t="s">
        <v>215</v>
      </c>
      <c r="C96" s="1" t="s">
        <v>32</v>
      </c>
      <c r="D96" s="7">
        <v>45834.0</v>
      </c>
      <c r="E96" s="7">
        <v>45914.0</v>
      </c>
      <c r="F96" s="8">
        <v>43.0</v>
      </c>
      <c r="G96" s="8">
        <v>27.0</v>
      </c>
      <c r="H96" s="8">
        <v>9.1</v>
      </c>
      <c r="I96" s="9">
        <v>0.7702</v>
      </c>
      <c r="J96" s="8">
        <v>3.0</v>
      </c>
      <c r="K96" s="8">
        <v>1.9</v>
      </c>
      <c r="L96" s="4" t="s">
        <v>33</v>
      </c>
      <c r="M96" s="8">
        <v>3.0</v>
      </c>
      <c r="N96" s="8">
        <v>5.0</v>
      </c>
      <c r="O96" s="8">
        <v>13.0</v>
      </c>
      <c r="P96" s="9">
        <v>0.2714</v>
      </c>
      <c r="Q96" s="8">
        <v>131.0</v>
      </c>
      <c r="R96" s="10">
        <v>80.0</v>
      </c>
      <c r="S96" s="9">
        <v>0.6279</v>
      </c>
      <c r="T96" s="11">
        <v>3.45</v>
      </c>
    </row>
    <row r="97">
      <c r="A97" s="1" t="s">
        <v>216</v>
      </c>
      <c r="B97" s="1" t="s">
        <v>217</v>
      </c>
      <c r="C97" s="1" t="s">
        <v>28</v>
      </c>
      <c r="D97" s="6">
        <v>45813.0</v>
      </c>
      <c r="E97" s="7">
        <v>45879.0</v>
      </c>
      <c r="F97" s="8">
        <v>17.0</v>
      </c>
      <c r="G97" s="8">
        <v>12.0</v>
      </c>
      <c r="H97" s="8">
        <v>6.7</v>
      </c>
      <c r="I97" s="9">
        <v>0.7535</v>
      </c>
      <c r="J97" s="8">
        <v>5.2</v>
      </c>
      <c r="K97" s="8">
        <v>5.4</v>
      </c>
      <c r="L97" s="4" t="s">
        <v>29</v>
      </c>
      <c r="M97" s="8">
        <v>1.0</v>
      </c>
      <c r="N97" s="8">
        <v>2.0</v>
      </c>
      <c r="O97" s="8">
        <v>37.0</v>
      </c>
      <c r="P97" s="9">
        <v>0.4038</v>
      </c>
      <c r="Q97" s="8">
        <v>160.0</v>
      </c>
      <c r="R97" s="10">
        <v>66.0</v>
      </c>
      <c r="S97" s="9">
        <v>0.7059</v>
      </c>
      <c r="T97" s="11">
        <v>5.27</v>
      </c>
    </row>
    <row r="98">
      <c r="A98" s="1" t="s">
        <v>218</v>
      </c>
      <c r="B98" s="1" t="s">
        <v>219</v>
      </c>
      <c r="C98" s="1" t="s">
        <v>28</v>
      </c>
      <c r="D98" s="7">
        <v>45820.0</v>
      </c>
      <c r="E98" s="7">
        <v>45889.0</v>
      </c>
      <c r="F98" s="8">
        <v>26.0</v>
      </c>
      <c r="G98" s="8">
        <v>15.0</v>
      </c>
      <c r="H98" s="8">
        <v>3.3</v>
      </c>
      <c r="I98" s="9">
        <v>0.6989</v>
      </c>
      <c r="J98" s="8">
        <v>4.9</v>
      </c>
      <c r="K98" s="8">
        <v>4.0</v>
      </c>
      <c r="L98" s="4" t="s">
        <v>29</v>
      </c>
      <c r="M98" s="8">
        <v>1.0</v>
      </c>
      <c r="N98" s="8">
        <v>3.0</v>
      </c>
      <c r="O98" s="8">
        <v>34.0</v>
      </c>
      <c r="P98" s="9">
        <v>0.548</v>
      </c>
      <c r="Q98" s="8">
        <v>142.0</v>
      </c>
      <c r="R98" s="10">
        <v>69.0</v>
      </c>
      <c r="S98" s="9">
        <v>0.5769</v>
      </c>
      <c r="T98" s="11">
        <v>8.74</v>
      </c>
    </row>
    <row r="99">
      <c r="A99" s="1" t="s">
        <v>220</v>
      </c>
      <c r="B99" s="1" t="s">
        <v>221</v>
      </c>
      <c r="C99" s="1" t="s">
        <v>28</v>
      </c>
      <c r="D99" s="7">
        <v>45833.0</v>
      </c>
      <c r="E99" s="7">
        <v>45863.0</v>
      </c>
      <c r="F99" s="8">
        <v>38.0</v>
      </c>
      <c r="G99" s="8">
        <v>27.0</v>
      </c>
      <c r="H99" s="8">
        <v>4.9</v>
      </c>
      <c r="I99" s="9">
        <v>0.7815</v>
      </c>
      <c r="J99" s="8">
        <v>5.5</v>
      </c>
      <c r="K99" s="8">
        <v>6.0</v>
      </c>
      <c r="L99" s="4" t="s">
        <v>29</v>
      </c>
      <c r="M99" s="8">
        <v>3.0</v>
      </c>
      <c r="N99" s="8">
        <v>2.0</v>
      </c>
      <c r="O99" s="8">
        <v>30.0</v>
      </c>
      <c r="P99" s="9">
        <v>0.4804</v>
      </c>
      <c r="Q99" s="8">
        <v>147.0</v>
      </c>
      <c r="R99" s="10">
        <v>30.0</v>
      </c>
      <c r="S99" s="9">
        <v>0.7105</v>
      </c>
      <c r="T99" s="11">
        <v>7.25</v>
      </c>
    </row>
    <row r="100">
      <c r="A100" s="1" t="s">
        <v>222</v>
      </c>
      <c r="B100" s="1" t="s">
        <v>223</v>
      </c>
      <c r="C100" s="1" t="s">
        <v>28</v>
      </c>
      <c r="D100" s="7">
        <v>45837.0</v>
      </c>
      <c r="E100" s="7">
        <v>45892.0</v>
      </c>
      <c r="F100" s="8">
        <v>37.0</v>
      </c>
      <c r="G100" s="8">
        <v>18.0</v>
      </c>
      <c r="H100" s="8">
        <v>5.9</v>
      </c>
      <c r="I100" s="9">
        <v>0.6147</v>
      </c>
      <c r="J100" s="8">
        <v>4.1</v>
      </c>
      <c r="K100" s="8">
        <v>3.9</v>
      </c>
      <c r="L100" s="4" t="s">
        <v>29</v>
      </c>
      <c r="M100" s="8">
        <v>1.0</v>
      </c>
      <c r="N100" s="8">
        <v>3.0</v>
      </c>
      <c r="O100" s="8">
        <v>24.0</v>
      </c>
      <c r="P100" s="9">
        <v>0.3874</v>
      </c>
      <c r="Q100" s="8">
        <v>154.0</v>
      </c>
      <c r="R100" s="10">
        <v>55.0</v>
      </c>
      <c r="S100" s="9">
        <v>0.4865</v>
      </c>
      <c r="T100" s="11">
        <v>4.12</v>
      </c>
    </row>
    <row r="101">
      <c r="A101" s="1" t="s">
        <v>224</v>
      </c>
      <c r="B101" s="1" t="s">
        <v>225</v>
      </c>
      <c r="C101" s="1" t="s">
        <v>22</v>
      </c>
      <c r="D101" s="7">
        <v>45832.0</v>
      </c>
      <c r="E101" s="7">
        <v>45892.0</v>
      </c>
      <c r="F101" s="8">
        <v>42.0</v>
      </c>
      <c r="G101" s="8">
        <v>29.0</v>
      </c>
      <c r="H101" s="8">
        <v>2.3</v>
      </c>
      <c r="I101" s="9">
        <v>0.7809</v>
      </c>
      <c r="J101" s="8">
        <v>8.6</v>
      </c>
      <c r="K101" s="8">
        <v>9.2</v>
      </c>
      <c r="L101" s="4" t="s">
        <v>23</v>
      </c>
      <c r="M101" s="8">
        <v>5.0</v>
      </c>
      <c r="N101" s="8">
        <v>0.0</v>
      </c>
      <c r="O101" s="8">
        <v>50.0</v>
      </c>
      <c r="P101" s="9">
        <v>0.8773</v>
      </c>
      <c r="Q101" s="8">
        <v>162.0</v>
      </c>
      <c r="R101" s="10">
        <v>60.0</v>
      </c>
      <c r="S101" s="9">
        <v>0.6905</v>
      </c>
      <c r="T101" s="11">
        <v>10.0</v>
      </c>
    </row>
    <row r="102">
      <c r="A102" s="1" t="s">
        <v>226</v>
      </c>
      <c r="B102" s="1" t="s">
        <v>227</v>
      </c>
      <c r="C102" s="1" t="s">
        <v>28</v>
      </c>
      <c r="D102" s="6">
        <v>45814.0</v>
      </c>
      <c r="E102" s="6">
        <v>45872.0</v>
      </c>
      <c r="F102" s="8">
        <v>25.0</v>
      </c>
      <c r="G102" s="8">
        <v>18.0</v>
      </c>
      <c r="H102" s="8">
        <v>2.5</v>
      </c>
      <c r="I102" s="9">
        <v>0.7955</v>
      </c>
      <c r="J102" s="8">
        <v>6.2</v>
      </c>
      <c r="K102" s="8">
        <v>6.6</v>
      </c>
      <c r="L102" s="4" t="s">
        <v>29</v>
      </c>
      <c r="M102" s="8">
        <v>1.0</v>
      </c>
      <c r="N102" s="8">
        <v>1.0</v>
      </c>
      <c r="O102" s="8">
        <v>31.0</v>
      </c>
      <c r="P102" s="9">
        <v>0.5795</v>
      </c>
      <c r="Q102" s="8">
        <v>166.0</v>
      </c>
      <c r="R102" s="10">
        <v>58.0</v>
      </c>
      <c r="S102" s="9">
        <v>0.72</v>
      </c>
      <c r="T102" s="11">
        <v>10.0</v>
      </c>
    </row>
    <row r="103">
      <c r="A103" s="1" t="s">
        <v>228</v>
      </c>
      <c r="B103" s="1" t="s">
        <v>229</v>
      </c>
      <c r="C103" s="1" t="s">
        <v>32</v>
      </c>
      <c r="D103" s="6">
        <v>45810.0</v>
      </c>
      <c r="E103" s="7">
        <v>45867.0</v>
      </c>
      <c r="F103" s="8">
        <v>17.0</v>
      </c>
      <c r="G103" s="8">
        <v>12.0</v>
      </c>
      <c r="H103" s="8">
        <v>8.4</v>
      </c>
      <c r="I103" s="9">
        <v>0.8771</v>
      </c>
      <c r="J103" s="8">
        <v>4.4</v>
      </c>
      <c r="K103" s="8">
        <v>5.0</v>
      </c>
      <c r="L103" s="4" t="s">
        <v>33</v>
      </c>
      <c r="M103" s="8">
        <v>1.0</v>
      </c>
      <c r="N103" s="8">
        <v>5.0</v>
      </c>
      <c r="O103" s="8">
        <v>20.0</v>
      </c>
      <c r="P103" s="9">
        <v>0.5308</v>
      </c>
      <c r="Q103" s="8">
        <v>183.0</v>
      </c>
      <c r="R103" s="10">
        <v>57.0</v>
      </c>
      <c r="S103" s="9">
        <v>0.7059</v>
      </c>
      <c r="T103" s="11">
        <v>4.2</v>
      </c>
    </row>
    <row r="104">
      <c r="A104" s="1" t="s">
        <v>230</v>
      </c>
      <c r="B104" s="1" t="s">
        <v>231</v>
      </c>
      <c r="C104" s="1" t="s">
        <v>32</v>
      </c>
      <c r="D104" s="7">
        <v>45821.0</v>
      </c>
      <c r="E104" s="7">
        <v>45868.0</v>
      </c>
      <c r="F104" s="8">
        <v>20.0</v>
      </c>
      <c r="G104" s="8">
        <v>10.0</v>
      </c>
      <c r="H104" s="8">
        <v>3.9</v>
      </c>
      <c r="I104" s="9">
        <v>0.6193</v>
      </c>
      <c r="J104" s="8">
        <v>2.8</v>
      </c>
      <c r="K104" s="8">
        <v>3.5</v>
      </c>
      <c r="L104" s="4" t="s">
        <v>33</v>
      </c>
      <c r="M104" s="8">
        <v>1.0</v>
      </c>
      <c r="N104" s="8">
        <v>4.0</v>
      </c>
      <c r="O104" s="8">
        <v>18.0</v>
      </c>
      <c r="P104" s="9">
        <v>0.3085</v>
      </c>
      <c r="Q104" s="8">
        <v>142.0</v>
      </c>
      <c r="R104" s="10">
        <v>47.0</v>
      </c>
      <c r="S104" s="9">
        <v>0.5</v>
      </c>
      <c r="T104" s="11">
        <v>6.41</v>
      </c>
    </row>
    <row r="105">
      <c r="A105" s="1" t="s">
        <v>232</v>
      </c>
      <c r="B105" s="1" t="s">
        <v>233</v>
      </c>
      <c r="C105" s="1" t="s">
        <v>28</v>
      </c>
      <c r="D105" s="7">
        <v>45825.0</v>
      </c>
      <c r="E105" s="6">
        <v>45903.0</v>
      </c>
      <c r="F105" s="8">
        <v>16.0</v>
      </c>
      <c r="G105" s="8">
        <v>10.0</v>
      </c>
      <c r="H105" s="8">
        <v>7.3</v>
      </c>
      <c r="I105" s="9">
        <v>0.7742</v>
      </c>
      <c r="J105" s="8">
        <v>4.9</v>
      </c>
      <c r="K105" s="8">
        <v>4.2</v>
      </c>
      <c r="L105" s="4" t="s">
        <v>29</v>
      </c>
      <c r="M105" s="8">
        <v>2.0</v>
      </c>
      <c r="N105" s="8">
        <v>1.0</v>
      </c>
      <c r="O105" s="8">
        <v>30.0</v>
      </c>
      <c r="P105" s="9">
        <v>0.3823</v>
      </c>
      <c r="Q105" s="8">
        <v>163.0</v>
      </c>
      <c r="R105" s="10">
        <v>78.0</v>
      </c>
      <c r="S105" s="9">
        <v>0.625</v>
      </c>
      <c r="T105" s="11">
        <v>4.28</v>
      </c>
    </row>
    <row r="106">
      <c r="A106" s="1" t="s">
        <v>234</v>
      </c>
      <c r="B106" s="1" t="s">
        <v>235</v>
      </c>
      <c r="C106" s="1" t="s">
        <v>28</v>
      </c>
      <c r="D106" s="7">
        <v>45823.0</v>
      </c>
      <c r="E106" s="7">
        <v>45888.0</v>
      </c>
      <c r="F106" s="8">
        <v>12.0</v>
      </c>
      <c r="G106" s="8">
        <v>6.0</v>
      </c>
      <c r="H106" s="8">
        <v>8.6</v>
      </c>
      <c r="I106" s="9">
        <v>0.6059</v>
      </c>
      <c r="J106" s="8">
        <v>4.0</v>
      </c>
      <c r="K106" s="8">
        <v>2.9</v>
      </c>
      <c r="L106" s="4" t="s">
        <v>29</v>
      </c>
      <c r="M106" s="8">
        <v>1.0</v>
      </c>
      <c r="N106" s="8">
        <v>3.0</v>
      </c>
      <c r="O106" s="8">
        <v>30.0</v>
      </c>
      <c r="P106" s="9">
        <v>0.4085</v>
      </c>
      <c r="Q106" s="8">
        <v>167.0</v>
      </c>
      <c r="R106" s="10">
        <v>65.0</v>
      </c>
      <c r="S106" s="9">
        <v>0.5</v>
      </c>
      <c r="T106" s="11">
        <v>2.91</v>
      </c>
    </row>
    <row r="107">
      <c r="A107" s="1" t="s">
        <v>236</v>
      </c>
      <c r="B107" s="1" t="s">
        <v>237</v>
      </c>
      <c r="C107" s="1" t="s">
        <v>28</v>
      </c>
      <c r="D107" s="7">
        <v>45823.0</v>
      </c>
      <c r="E107" s="6">
        <v>45903.0</v>
      </c>
      <c r="F107" s="8">
        <v>32.0</v>
      </c>
      <c r="G107" s="8">
        <v>24.0</v>
      </c>
      <c r="H107" s="8">
        <v>1.6</v>
      </c>
      <c r="I107" s="9">
        <v>0.8198</v>
      </c>
      <c r="J107" s="8">
        <v>6.2</v>
      </c>
      <c r="K107" s="8">
        <v>6.3</v>
      </c>
      <c r="L107" s="4" t="s">
        <v>29</v>
      </c>
      <c r="M107" s="8">
        <v>2.0</v>
      </c>
      <c r="N107" s="8">
        <v>2.0</v>
      </c>
      <c r="O107" s="8">
        <v>33.0</v>
      </c>
      <c r="P107" s="9">
        <v>0.639</v>
      </c>
      <c r="Q107" s="8">
        <v>132.0</v>
      </c>
      <c r="R107" s="10">
        <v>80.0</v>
      </c>
      <c r="S107" s="9">
        <v>0.75</v>
      </c>
      <c r="T107" s="11">
        <v>10.0</v>
      </c>
    </row>
    <row r="108">
      <c r="A108" s="1" t="s">
        <v>238</v>
      </c>
      <c r="B108" s="1" t="s">
        <v>239</v>
      </c>
      <c r="C108" s="1" t="s">
        <v>32</v>
      </c>
      <c r="D108" s="7">
        <v>45821.0</v>
      </c>
      <c r="E108" s="7">
        <v>45899.0</v>
      </c>
      <c r="F108" s="8">
        <v>38.0</v>
      </c>
      <c r="G108" s="8">
        <v>23.0</v>
      </c>
      <c r="H108" s="8">
        <v>3.8</v>
      </c>
      <c r="I108" s="9">
        <v>0.7406</v>
      </c>
      <c r="J108" s="8">
        <v>3.8</v>
      </c>
      <c r="K108" s="8">
        <v>4.9</v>
      </c>
      <c r="L108" s="4" t="s">
        <v>33</v>
      </c>
      <c r="M108" s="8">
        <v>3.0</v>
      </c>
      <c r="N108" s="8">
        <v>3.0</v>
      </c>
      <c r="O108" s="8">
        <v>11.0</v>
      </c>
      <c r="P108" s="9">
        <v>0.4187</v>
      </c>
      <c r="Q108" s="8">
        <v>194.0</v>
      </c>
      <c r="R108" s="10">
        <v>78.0</v>
      </c>
      <c r="S108" s="9">
        <v>0.6053</v>
      </c>
      <c r="T108" s="11">
        <v>7.96</v>
      </c>
    </row>
    <row r="109">
      <c r="A109" s="1" t="s">
        <v>240</v>
      </c>
      <c r="B109" s="1" t="s">
        <v>241</v>
      </c>
      <c r="C109" s="1" t="s">
        <v>28</v>
      </c>
      <c r="D109" s="6">
        <v>45815.0</v>
      </c>
      <c r="E109" s="7">
        <v>45898.0</v>
      </c>
      <c r="F109" s="8">
        <v>16.0</v>
      </c>
      <c r="G109" s="8">
        <v>10.0</v>
      </c>
      <c r="H109" s="8">
        <v>2.7</v>
      </c>
      <c r="I109" s="9">
        <v>0.6493</v>
      </c>
      <c r="J109" s="8">
        <v>4.7</v>
      </c>
      <c r="K109" s="8">
        <v>4.6</v>
      </c>
      <c r="L109" s="4" t="s">
        <v>29</v>
      </c>
      <c r="M109" s="8">
        <v>1.0</v>
      </c>
      <c r="N109" s="8">
        <v>1.0</v>
      </c>
      <c r="O109" s="8">
        <v>31.0</v>
      </c>
      <c r="P109" s="9">
        <v>0.5098</v>
      </c>
      <c r="Q109" s="8">
        <v>120.0</v>
      </c>
      <c r="R109" s="10">
        <v>83.0</v>
      </c>
      <c r="S109" s="9">
        <v>0.625</v>
      </c>
      <c r="T109" s="11">
        <v>10.0</v>
      </c>
    </row>
    <row r="110">
      <c r="A110" s="1" t="s">
        <v>242</v>
      </c>
      <c r="B110" s="1" t="s">
        <v>243</v>
      </c>
      <c r="C110" s="1" t="s">
        <v>22</v>
      </c>
      <c r="D110" s="7">
        <v>45818.0</v>
      </c>
      <c r="E110" s="6">
        <v>45908.0</v>
      </c>
      <c r="F110" s="8">
        <v>30.0</v>
      </c>
      <c r="G110" s="8">
        <v>19.0</v>
      </c>
      <c r="H110" s="8">
        <v>2.9</v>
      </c>
      <c r="I110" s="9">
        <v>0.7494</v>
      </c>
      <c r="J110" s="8">
        <v>7.5</v>
      </c>
      <c r="K110" s="8">
        <v>6.5</v>
      </c>
      <c r="L110" s="4" t="s">
        <v>23</v>
      </c>
      <c r="M110" s="8">
        <v>1.0</v>
      </c>
      <c r="N110" s="8">
        <v>2.0</v>
      </c>
      <c r="O110" s="8">
        <v>42.0</v>
      </c>
      <c r="P110" s="9">
        <v>0.8375</v>
      </c>
      <c r="Q110" s="8">
        <v>145.0</v>
      </c>
      <c r="R110" s="10">
        <v>90.0</v>
      </c>
      <c r="S110" s="9">
        <v>0.6333</v>
      </c>
      <c r="T110" s="11">
        <v>10.0</v>
      </c>
    </row>
    <row r="111">
      <c r="A111" s="1" t="s">
        <v>244</v>
      </c>
      <c r="B111" s="1" t="s">
        <v>245</v>
      </c>
      <c r="C111" s="1" t="s">
        <v>32</v>
      </c>
      <c r="D111" s="7">
        <v>45831.0</v>
      </c>
      <c r="E111" s="7">
        <v>45893.0</v>
      </c>
      <c r="F111" s="8">
        <v>45.0</v>
      </c>
      <c r="G111" s="8">
        <v>24.0</v>
      </c>
      <c r="H111" s="8">
        <v>2.4</v>
      </c>
      <c r="I111" s="9">
        <v>0.7023</v>
      </c>
      <c r="J111" s="8">
        <v>2.0</v>
      </c>
      <c r="K111" s="8">
        <v>2.4</v>
      </c>
      <c r="L111" s="4" t="s">
        <v>33</v>
      </c>
      <c r="M111" s="8">
        <v>2.0</v>
      </c>
      <c r="N111" s="8">
        <v>4.0</v>
      </c>
      <c r="O111" s="8">
        <v>13.0</v>
      </c>
      <c r="P111" s="9">
        <v>0.182</v>
      </c>
      <c r="Q111" s="8">
        <v>200.0</v>
      </c>
      <c r="R111" s="10">
        <v>62.0</v>
      </c>
      <c r="S111" s="9">
        <v>0.5333</v>
      </c>
      <c r="T111" s="11">
        <v>10.0</v>
      </c>
    </row>
    <row r="112">
      <c r="A112" s="1" t="s">
        <v>246</v>
      </c>
      <c r="B112" s="1" t="s">
        <v>247</v>
      </c>
      <c r="C112" s="1" t="s">
        <v>22</v>
      </c>
      <c r="D112" s="7">
        <v>45829.0</v>
      </c>
      <c r="E112" s="7">
        <v>45865.0</v>
      </c>
      <c r="F112" s="8">
        <v>19.0</v>
      </c>
      <c r="G112" s="8">
        <v>11.0</v>
      </c>
      <c r="H112" s="8">
        <v>1.5</v>
      </c>
      <c r="I112" s="9">
        <v>0.6714</v>
      </c>
      <c r="J112" s="8">
        <v>5.5</v>
      </c>
      <c r="K112" s="8">
        <v>5.2</v>
      </c>
      <c r="L112" s="4" t="s">
        <v>23</v>
      </c>
      <c r="M112" s="8">
        <v>1.0</v>
      </c>
      <c r="N112" s="8">
        <v>2.0</v>
      </c>
      <c r="O112" s="8">
        <v>34.0</v>
      </c>
      <c r="P112" s="9">
        <v>0.5155</v>
      </c>
      <c r="Q112" s="8">
        <v>186.0</v>
      </c>
      <c r="R112" s="10">
        <v>36.0</v>
      </c>
      <c r="S112" s="9">
        <v>0.5789</v>
      </c>
      <c r="T112" s="11">
        <v>10.0</v>
      </c>
    </row>
    <row r="113">
      <c r="A113" s="1" t="s">
        <v>248</v>
      </c>
      <c r="B113" s="1" t="s">
        <v>249</v>
      </c>
      <c r="C113" s="1" t="s">
        <v>22</v>
      </c>
      <c r="D113" s="6">
        <v>45815.0</v>
      </c>
      <c r="E113" s="7">
        <v>45885.0</v>
      </c>
      <c r="F113" s="8">
        <v>33.0</v>
      </c>
      <c r="G113" s="8">
        <v>24.0</v>
      </c>
      <c r="H113" s="8">
        <v>3.5</v>
      </c>
      <c r="I113" s="9">
        <v>0.7771</v>
      </c>
      <c r="J113" s="8">
        <v>8.4</v>
      </c>
      <c r="K113" s="8">
        <v>7.6</v>
      </c>
      <c r="L113" s="4" t="s">
        <v>23</v>
      </c>
      <c r="M113" s="8">
        <v>2.0</v>
      </c>
      <c r="N113" s="8">
        <v>1.0</v>
      </c>
      <c r="O113" s="8">
        <v>36.0</v>
      </c>
      <c r="P113" s="9">
        <v>0.8044</v>
      </c>
      <c r="Q113" s="8">
        <v>168.0</v>
      </c>
      <c r="R113" s="10">
        <v>70.0</v>
      </c>
      <c r="S113" s="9">
        <v>0.7273</v>
      </c>
      <c r="T113" s="11">
        <v>10.0</v>
      </c>
    </row>
    <row r="114">
      <c r="A114" s="1" t="s">
        <v>250</v>
      </c>
      <c r="B114" s="1" t="s">
        <v>251</v>
      </c>
      <c r="C114" s="1" t="s">
        <v>32</v>
      </c>
      <c r="D114" s="6">
        <v>45810.0</v>
      </c>
      <c r="E114" s="6">
        <v>45845.0</v>
      </c>
      <c r="F114" s="8">
        <v>17.0</v>
      </c>
      <c r="G114" s="8">
        <v>14.0</v>
      </c>
      <c r="H114" s="8">
        <v>5.8</v>
      </c>
      <c r="I114" s="9">
        <v>0.9327</v>
      </c>
      <c r="J114" s="8">
        <v>5.8</v>
      </c>
      <c r="K114" s="8">
        <v>5.0</v>
      </c>
      <c r="L114" s="4" t="s">
        <v>33</v>
      </c>
      <c r="M114" s="8">
        <v>3.0</v>
      </c>
      <c r="N114" s="8">
        <v>1.0</v>
      </c>
      <c r="O114" s="8">
        <v>14.0</v>
      </c>
      <c r="P114" s="9">
        <v>0.5183</v>
      </c>
      <c r="Q114" s="8">
        <v>163.0</v>
      </c>
      <c r="R114" s="10">
        <v>35.0</v>
      </c>
      <c r="S114" s="9">
        <v>0.8235</v>
      </c>
      <c r="T114" s="11">
        <v>7.1</v>
      </c>
    </row>
    <row r="115">
      <c r="A115" s="1" t="s">
        <v>252</v>
      </c>
      <c r="B115" s="1" t="s">
        <v>253</v>
      </c>
      <c r="C115" s="1" t="s">
        <v>28</v>
      </c>
      <c r="D115" s="7">
        <v>45833.0</v>
      </c>
      <c r="E115" s="7">
        <v>45892.0</v>
      </c>
      <c r="F115" s="8">
        <v>45.0</v>
      </c>
      <c r="G115" s="8">
        <v>33.0</v>
      </c>
      <c r="H115" s="8">
        <v>7.8</v>
      </c>
      <c r="I115" s="9">
        <v>0.8647</v>
      </c>
      <c r="J115" s="8">
        <v>6.7</v>
      </c>
      <c r="K115" s="8">
        <v>6.5</v>
      </c>
      <c r="L115" s="4" t="s">
        <v>29</v>
      </c>
      <c r="M115" s="8">
        <v>5.0</v>
      </c>
      <c r="N115" s="8">
        <v>3.0</v>
      </c>
      <c r="O115" s="8">
        <v>36.0</v>
      </c>
      <c r="P115" s="9">
        <v>0.6105</v>
      </c>
      <c r="Q115" s="8">
        <v>135.0</v>
      </c>
      <c r="R115" s="10">
        <v>59.0</v>
      </c>
      <c r="S115" s="9">
        <v>0.7333</v>
      </c>
      <c r="T115" s="11">
        <v>4.7</v>
      </c>
    </row>
    <row r="116">
      <c r="A116" s="1" t="s">
        <v>254</v>
      </c>
      <c r="B116" s="1" t="s">
        <v>255</v>
      </c>
      <c r="C116" s="1" t="s">
        <v>32</v>
      </c>
      <c r="D116" s="6">
        <v>45815.0</v>
      </c>
      <c r="E116" s="7">
        <v>45852.0</v>
      </c>
      <c r="F116" s="8">
        <v>49.0</v>
      </c>
      <c r="G116" s="8">
        <v>24.0</v>
      </c>
      <c r="H116" s="8">
        <v>7.0</v>
      </c>
      <c r="I116" s="9">
        <v>0.6005</v>
      </c>
      <c r="J116" s="8">
        <v>3.0</v>
      </c>
      <c r="K116" s="8">
        <v>2.8</v>
      </c>
      <c r="L116" s="4" t="s">
        <v>33</v>
      </c>
      <c r="M116" s="8">
        <v>2.0</v>
      </c>
      <c r="N116" s="8">
        <v>4.0</v>
      </c>
      <c r="O116" s="8">
        <v>25.0</v>
      </c>
      <c r="P116" s="9">
        <v>0.2802</v>
      </c>
      <c r="Q116" s="8">
        <v>135.0</v>
      </c>
      <c r="R116" s="10">
        <v>37.0</v>
      </c>
      <c r="S116" s="9">
        <v>0.4898</v>
      </c>
      <c r="T116" s="11">
        <v>3.5</v>
      </c>
    </row>
    <row r="117">
      <c r="A117" s="1" t="s">
        <v>256</v>
      </c>
      <c r="B117" s="1" t="s">
        <v>257</v>
      </c>
      <c r="C117" s="1" t="s">
        <v>22</v>
      </c>
      <c r="D117" s="7">
        <v>45819.0</v>
      </c>
      <c r="E117" s="7">
        <v>45849.0</v>
      </c>
      <c r="F117" s="8">
        <v>42.0</v>
      </c>
      <c r="G117" s="8">
        <v>29.0</v>
      </c>
      <c r="H117" s="8">
        <v>4.4</v>
      </c>
      <c r="I117" s="9">
        <v>0.8027</v>
      </c>
      <c r="J117" s="8">
        <v>7.8</v>
      </c>
      <c r="K117" s="8">
        <v>6.9</v>
      </c>
      <c r="L117" s="4" t="s">
        <v>23</v>
      </c>
      <c r="M117" s="8">
        <v>5.0</v>
      </c>
      <c r="N117" s="8">
        <v>1.0</v>
      </c>
      <c r="O117" s="8">
        <v>49.0</v>
      </c>
      <c r="P117" s="9">
        <v>0.7441</v>
      </c>
      <c r="Q117" s="8">
        <v>171.0</v>
      </c>
      <c r="R117" s="10">
        <v>30.0</v>
      </c>
      <c r="S117" s="9">
        <v>0.6905</v>
      </c>
      <c r="T117" s="11">
        <v>7.85</v>
      </c>
    </row>
    <row r="118">
      <c r="A118" s="1" t="s">
        <v>258</v>
      </c>
      <c r="B118" s="1" t="s">
        <v>259</v>
      </c>
      <c r="C118" s="1" t="s">
        <v>32</v>
      </c>
      <c r="D118" s="6">
        <v>45815.0</v>
      </c>
      <c r="E118" s="7">
        <v>45860.0</v>
      </c>
      <c r="F118" s="8">
        <v>21.0</v>
      </c>
      <c r="G118" s="8">
        <v>11.0</v>
      </c>
      <c r="H118" s="8">
        <v>8.9</v>
      </c>
      <c r="I118" s="9">
        <v>0.7119</v>
      </c>
      <c r="J118" s="8">
        <v>3.2</v>
      </c>
      <c r="K118" s="8">
        <v>3.4</v>
      </c>
      <c r="L118" s="4" t="s">
        <v>33</v>
      </c>
      <c r="M118" s="8">
        <v>1.0</v>
      </c>
      <c r="N118" s="8">
        <v>4.0</v>
      </c>
      <c r="O118" s="8">
        <v>13.0</v>
      </c>
      <c r="P118" s="9">
        <v>0.3361</v>
      </c>
      <c r="Q118" s="8">
        <v>192.0</v>
      </c>
      <c r="R118" s="10">
        <v>45.0</v>
      </c>
      <c r="S118" s="9">
        <v>0.5238</v>
      </c>
      <c r="T118" s="11">
        <v>2.94</v>
      </c>
    </row>
    <row r="119">
      <c r="A119" s="1" t="s">
        <v>260</v>
      </c>
      <c r="B119" s="1" t="s">
        <v>261</v>
      </c>
      <c r="C119" s="1" t="s">
        <v>22</v>
      </c>
      <c r="D119" s="7">
        <v>45822.0</v>
      </c>
      <c r="E119" s="7">
        <v>45882.0</v>
      </c>
      <c r="F119" s="8">
        <v>11.0</v>
      </c>
      <c r="G119" s="8">
        <v>8.0</v>
      </c>
      <c r="H119" s="8">
        <v>6.2</v>
      </c>
      <c r="I119" s="9">
        <v>0.729</v>
      </c>
      <c r="J119" s="8">
        <v>7.3</v>
      </c>
      <c r="K119" s="8">
        <v>5.9</v>
      </c>
      <c r="L119" s="4" t="s">
        <v>23</v>
      </c>
      <c r="M119" s="8">
        <v>1.0</v>
      </c>
      <c r="N119" s="8">
        <v>0.0</v>
      </c>
      <c r="O119" s="8">
        <v>32.0</v>
      </c>
      <c r="P119" s="9">
        <v>0.7191</v>
      </c>
      <c r="Q119" s="8">
        <v>199.0</v>
      </c>
      <c r="R119" s="10">
        <v>60.0</v>
      </c>
      <c r="S119" s="9">
        <v>0.7273</v>
      </c>
      <c r="T119" s="11">
        <v>5.87</v>
      </c>
    </row>
    <row r="120">
      <c r="A120" s="1" t="s">
        <v>262</v>
      </c>
      <c r="B120" s="1" t="s">
        <v>263</v>
      </c>
      <c r="C120" s="1" t="s">
        <v>28</v>
      </c>
      <c r="D120" s="7">
        <v>45837.0</v>
      </c>
      <c r="E120" s="7">
        <v>45884.0</v>
      </c>
      <c r="F120" s="8">
        <v>43.0</v>
      </c>
      <c r="G120" s="8">
        <v>35.0</v>
      </c>
      <c r="H120" s="8">
        <v>4.9</v>
      </c>
      <c r="I120" s="9">
        <v>0.9059</v>
      </c>
      <c r="J120" s="8">
        <v>7.4</v>
      </c>
      <c r="K120" s="8">
        <v>7.4</v>
      </c>
      <c r="L120" s="4" t="s">
        <v>29</v>
      </c>
      <c r="M120" s="8">
        <v>5.0</v>
      </c>
      <c r="N120" s="8">
        <v>2.0</v>
      </c>
      <c r="O120" s="8">
        <v>39.0</v>
      </c>
      <c r="P120" s="9">
        <v>0.6412</v>
      </c>
      <c r="Q120" s="8">
        <v>125.0</v>
      </c>
      <c r="R120" s="10">
        <v>47.0</v>
      </c>
      <c r="S120" s="9">
        <v>0.814</v>
      </c>
      <c r="T120" s="11">
        <v>8.31</v>
      </c>
    </row>
    <row r="121">
      <c r="A121" s="1" t="s">
        <v>264</v>
      </c>
      <c r="B121" s="1" t="s">
        <v>265</v>
      </c>
      <c r="C121" s="1" t="s">
        <v>28</v>
      </c>
      <c r="D121" s="7">
        <v>45836.0</v>
      </c>
      <c r="E121" s="6">
        <v>45874.0</v>
      </c>
      <c r="F121" s="8">
        <v>14.0</v>
      </c>
      <c r="G121" s="8">
        <v>7.0</v>
      </c>
      <c r="H121" s="8">
        <v>1.5</v>
      </c>
      <c r="I121" s="9">
        <v>0.6001</v>
      </c>
      <c r="J121" s="8">
        <v>4.8</v>
      </c>
      <c r="K121" s="8">
        <v>4.4</v>
      </c>
      <c r="L121" s="4" t="s">
        <v>29</v>
      </c>
      <c r="M121" s="8">
        <v>1.0</v>
      </c>
      <c r="N121" s="8">
        <v>2.0</v>
      </c>
      <c r="O121" s="8">
        <v>30.0</v>
      </c>
      <c r="P121" s="9">
        <v>0.4595</v>
      </c>
      <c r="Q121" s="8">
        <v>126.0</v>
      </c>
      <c r="R121" s="10">
        <v>38.0</v>
      </c>
      <c r="S121" s="9">
        <v>0.5</v>
      </c>
      <c r="T121" s="11">
        <v>10.0</v>
      </c>
    </row>
    <row r="122">
      <c r="A122" s="1" t="s">
        <v>266</v>
      </c>
      <c r="B122" s="1" t="s">
        <v>267</v>
      </c>
      <c r="C122" s="1" t="s">
        <v>22</v>
      </c>
      <c r="D122" s="7">
        <v>45835.0</v>
      </c>
      <c r="E122" s="6">
        <v>45871.0</v>
      </c>
      <c r="F122" s="8">
        <v>38.0</v>
      </c>
      <c r="G122" s="8">
        <v>29.0</v>
      </c>
      <c r="H122" s="8">
        <v>4.8</v>
      </c>
      <c r="I122" s="9">
        <v>0.8769</v>
      </c>
      <c r="J122" s="8">
        <v>8.6</v>
      </c>
      <c r="K122" s="8">
        <v>7.6</v>
      </c>
      <c r="L122" s="4" t="s">
        <v>23</v>
      </c>
      <c r="M122" s="8">
        <v>4.0</v>
      </c>
      <c r="N122" s="8">
        <v>3.0</v>
      </c>
      <c r="O122" s="8">
        <v>30.0</v>
      </c>
      <c r="P122" s="9">
        <v>0.8488</v>
      </c>
      <c r="Q122" s="8">
        <v>133.0</v>
      </c>
      <c r="R122" s="10">
        <v>36.0</v>
      </c>
      <c r="S122" s="9">
        <v>0.7632</v>
      </c>
      <c r="T122" s="11">
        <v>7.95</v>
      </c>
    </row>
    <row r="123">
      <c r="A123" s="1" t="s">
        <v>268</v>
      </c>
      <c r="B123" s="1" t="s">
        <v>269</v>
      </c>
      <c r="C123" s="1" t="s">
        <v>28</v>
      </c>
      <c r="D123" s="6">
        <v>45815.0</v>
      </c>
      <c r="E123" s="7">
        <v>45900.0</v>
      </c>
      <c r="F123" s="8">
        <v>11.0</v>
      </c>
      <c r="G123" s="8">
        <v>6.0</v>
      </c>
      <c r="H123" s="8">
        <v>8.1</v>
      </c>
      <c r="I123" s="9">
        <v>0.6708</v>
      </c>
      <c r="J123" s="8">
        <v>4.2</v>
      </c>
      <c r="K123" s="8">
        <v>5.4</v>
      </c>
      <c r="L123" s="4" t="s">
        <v>29</v>
      </c>
      <c r="M123" s="8">
        <v>1.0</v>
      </c>
      <c r="N123" s="8">
        <v>0.0</v>
      </c>
      <c r="O123" s="8">
        <v>24.0</v>
      </c>
      <c r="P123" s="9">
        <v>0.4597</v>
      </c>
      <c r="Q123" s="8">
        <v>184.0</v>
      </c>
      <c r="R123" s="10">
        <v>85.0</v>
      </c>
      <c r="S123" s="9">
        <v>0.5455</v>
      </c>
      <c r="T123" s="11">
        <v>3.37</v>
      </c>
    </row>
    <row r="124">
      <c r="A124" s="1" t="s">
        <v>270</v>
      </c>
      <c r="B124" s="1" t="s">
        <v>271</v>
      </c>
      <c r="C124" s="1" t="s">
        <v>28</v>
      </c>
      <c r="D124" s="7">
        <v>45831.0</v>
      </c>
      <c r="E124" s="7">
        <v>45912.0</v>
      </c>
      <c r="F124" s="8">
        <v>46.0</v>
      </c>
      <c r="G124" s="8">
        <v>30.0</v>
      </c>
      <c r="H124" s="8">
        <v>2.0</v>
      </c>
      <c r="I124" s="9">
        <v>0.7294</v>
      </c>
      <c r="J124" s="8">
        <v>6.2</v>
      </c>
      <c r="K124" s="8">
        <v>4.8</v>
      </c>
      <c r="L124" s="4" t="s">
        <v>29</v>
      </c>
      <c r="M124" s="8">
        <v>3.0</v>
      </c>
      <c r="N124" s="8">
        <v>1.0</v>
      </c>
      <c r="O124" s="8">
        <v>37.0</v>
      </c>
      <c r="P124" s="9">
        <v>0.723</v>
      </c>
      <c r="Q124" s="8">
        <v>145.0</v>
      </c>
      <c r="R124" s="10">
        <v>81.0</v>
      </c>
      <c r="S124" s="9">
        <v>0.6522</v>
      </c>
      <c r="T124" s="11">
        <v>10.0</v>
      </c>
    </row>
    <row r="125">
      <c r="A125" s="1" t="s">
        <v>272</v>
      </c>
      <c r="B125" s="1" t="s">
        <v>273</v>
      </c>
      <c r="C125" s="1" t="s">
        <v>32</v>
      </c>
      <c r="D125" s="7">
        <v>45824.0</v>
      </c>
      <c r="E125" s="7">
        <v>45913.0</v>
      </c>
      <c r="F125" s="8">
        <v>38.0</v>
      </c>
      <c r="G125" s="8">
        <v>22.0</v>
      </c>
      <c r="H125" s="8">
        <v>9.0</v>
      </c>
      <c r="I125" s="9">
        <v>0.6509</v>
      </c>
      <c r="J125" s="8">
        <v>2.3</v>
      </c>
      <c r="K125" s="8">
        <v>3.1</v>
      </c>
      <c r="L125" s="4" t="s">
        <v>33</v>
      </c>
      <c r="M125" s="8">
        <v>2.0</v>
      </c>
      <c r="N125" s="8">
        <v>3.0</v>
      </c>
      <c r="O125" s="8">
        <v>11.0</v>
      </c>
      <c r="P125" s="9">
        <v>0.174</v>
      </c>
      <c r="Q125" s="8">
        <v>129.0</v>
      </c>
      <c r="R125" s="10">
        <v>89.0</v>
      </c>
      <c r="S125" s="9">
        <v>0.5789</v>
      </c>
      <c r="T125" s="11">
        <v>3.22</v>
      </c>
    </row>
    <row r="126">
      <c r="A126" s="1" t="s">
        <v>274</v>
      </c>
      <c r="B126" s="1" t="s">
        <v>275</v>
      </c>
      <c r="C126" s="1" t="s">
        <v>28</v>
      </c>
      <c r="D126" s="7">
        <v>45833.0</v>
      </c>
      <c r="E126" s="6">
        <v>45870.0</v>
      </c>
      <c r="F126" s="8">
        <v>24.0</v>
      </c>
      <c r="G126" s="8">
        <v>19.0</v>
      </c>
      <c r="H126" s="8">
        <v>8.9</v>
      </c>
      <c r="I126" s="9">
        <v>0.9721</v>
      </c>
      <c r="J126" s="8">
        <v>7.1</v>
      </c>
      <c r="K126" s="8">
        <v>6.7</v>
      </c>
      <c r="L126" s="4" t="s">
        <v>29</v>
      </c>
      <c r="M126" s="8">
        <v>3.0</v>
      </c>
      <c r="N126" s="8">
        <v>4.0</v>
      </c>
      <c r="O126" s="8">
        <v>27.0</v>
      </c>
      <c r="P126" s="9">
        <v>0.7062</v>
      </c>
      <c r="Q126" s="8">
        <v>162.0</v>
      </c>
      <c r="R126" s="10">
        <v>37.0</v>
      </c>
      <c r="S126" s="9">
        <v>0.7917</v>
      </c>
      <c r="T126" s="11">
        <v>4.45</v>
      </c>
    </row>
    <row r="127">
      <c r="A127" s="1" t="s">
        <v>276</v>
      </c>
      <c r="B127" s="1" t="s">
        <v>277</v>
      </c>
      <c r="C127" s="1" t="s">
        <v>22</v>
      </c>
      <c r="D127" s="7">
        <v>45823.0</v>
      </c>
      <c r="E127" s="6">
        <v>45904.0</v>
      </c>
      <c r="F127" s="8">
        <v>33.0</v>
      </c>
      <c r="G127" s="8">
        <v>27.0</v>
      </c>
      <c r="H127" s="8">
        <v>4.5</v>
      </c>
      <c r="I127" s="9">
        <v>0.8636</v>
      </c>
      <c r="J127" s="8">
        <v>9.0</v>
      </c>
      <c r="K127" s="8">
        <v>9.2</v>
      </c>
      <c r="L127" s="4" t="s">
        <v>23</v>
      </c>
      <c r="M127" s="8">
        <v>4.0</v>
      </c>
      <c r="N127" s="8">
        <v>0.0</v>
      </c>
      <c r="O127" s="8">
        <v>48.0</v>
      </c>
      <c r="P127" s="9">
        <v>0.8991</v>
      </c>
      <c r="Q127" s="8">
        <v>126.0</v>
      </c>
      <c r="R127" s="10">
        <v>81.0</v>
      </c>
      <c r="S127" s="9">
        <v>0.8182</v>
      </c>
      <c r="T127" s="11">
        <v>9.09</v>
      </c>
    </row>
    <row r="128">
      <c r="A128" s="1" t="s">
        <v>278</v>
      </c>
      <c r="B128" s="1" t="s">
        <v>279</v>
      </c>
      <c r="C128" s="1" t="s">
        <v>28</v>
      </c>
      <c r="D128" s="7">
        <v>45833.0</v>
      </c>
      <c r="E128" s="6">
        <v>45902.0</v>
      </c>
      <c r="F128" s="8">
        <v>39.0</v>
      </c>
      <c r="G128" s="8">
        <v>31.0</v>
      </c>
      <c r="H128" s="8">
        <v>5.6</v>
      </c>
      <c r="I128" s="9">
        <v>0.9135</v>
      </c>
      <c r="J128" s="8">
        <v>7.4</v>
      </c>
      <c r="K128" s="8">
        <v>7.5</v>
      </c>
      <c r="L128" s="4" t="s">
        <v>29</v>
      </c>
      <c r="M128" s="8">
        <v>3.0</v>
      </c>
      <c r="N128" s="8">
        <v>1.0</v>
      </c>
      <c r="O128" s="8">
        <v>38.0</v>
      </c>
      <c r="P128" s="9">
        <v>0.7523</v>
      </c>
      <c r="Q128" s="8">
        <v>185.0</v>
      </c>
      <c r="R128" s="10">
        <v>69.0</v>
      </c>
      <c r="S128" s="9">
        <v>0.7949</v>
      </c>
      <c r="T128" s="11">
        <v>7.1</v>
      </c>
    </row>
    <row r="129">
      <c r="A129" s="1" t="s">
        <v>280</v>
      </c>
      <c r="B129" s="1" t="s">
        <v>281</v>
      </c>
      <c r="C129" s="1" t="s">
        <v>32</v>
      </c>
      <c r="D129" s="7">
        <v>45824.0</v>
      </c>
      <c r="E129" s="7">
        <v>45884.0</v>
      </c>
      <c r="F129" s="8">
        <v>19.0</v>
      </c>
      <c r="G129" s="8">
        <v>13.0</v>
      </c>
      <c r="H129" s="8">
        <v>9.8</v>
      </c>
      <c r="I129" s="9">
        <v>0.8669</v>
      </c>
      <c r="J129" s="8">
        <v>4.6</v>
      </c>
      <c r="K129" s="8">
        <v>5.6</v>
      </c>
      <c r="L129" s="4" t="s">
        <v>33</v>
      </c>
      <c r="M129" s="8">
        <v>1.0</v>
      </c>
      <c r="N129" s="8">
        <v>3.0</v>
      </c>
      <c r="O129" s="8">
        <v>12.0</v>
      </c>
      <c r="P129" s="9">
        <v>0.55</v>
      </c>
      <c r="Q129" s="8">
        <v>130.0</v>
      </c>
      <c r="R129" s="10">
        <v>60.0</v>
      </c>
      <c r="S129" s="9">
        <v>0.6842</v>
      </c>
      <c r="T129" s="11">
        <v>3.49</v>
      </c>
    </row>
    <row r="130">
      <c r="A130" s="1" t="s">
        <v>282</v>
      </c>
      <c r="B130" s="1" t="s">
        <v>283</v>
      </c>
      <c r="C130" s="1" t="s">
        <v>22</v>
      </c>
      <c r="D130" s="7">
        <v>45829.0</v>
      </c>
      <c r="E130" s="6">
        <v>45878.0</v>
      </c>
      <c r="F130" s="8">
        <v>34.0</v>
      </c>
      <c r="G130" s="8">
        <v>20.0</v>
      </c>
      <c r="H130" s="8">
        <v>4.5</v>
      </c>
      <c r="I130" s="9">
        <v>0.6175</v>
      </c>
      <c r="J130" s="8">
        <v>5.8</v>
      </c>
      <c r="K130" s="8">
        <v>5.4</v>
      </c>
      <c r="L130" s="4" t="s">
        <v>23</v>
      </c>
      <c r="M130" s="8">
        <v>3.0</v>
      </c>
      <c r="N130" s="8">
        <v>1.0</v>
      </c>
      <c r="O130" s="8">
        <v>46.0</v>
      </c>
      <c r="P130" s="9">
        <v>0.542</v>
      </c>
      <c r="Q130" s="8">
        <v>165.0</v>
      </c>
      <c r="R130" s="10">
        <v>49.0</v>
      </c>
      <c r="S130" s="9">
        <v>0.5882</v>
      </c>
      <c r="T130" s="11">
        <v>6.54</v>
      </c>
    </row>
    <row r="131">
      <c r="A131" s="1" t="s">
        <v>284</v>
      </c>
      <c r="B131" s="1" t="s">
        <v>285</v>
      </c>
      <c r="C131" s="1" t="s">
        <v>28</v>
      </c>
      <c r="D131" s="7">
        <v>45819.0</v>
      </c>
      <c r="E131" s="6">
        <v>45870.0</v>
      </c>
      <c r="F131" s="8">
        <v>22.0</v>
      </c>
      <c r="G131" s="8">
        <v>11.0</v>
      </c>
      <c r="H131" s="8">
        <v>2.6</v>
      </c>
      <c r="I131" s="9">
        <v>0.6051</v>
      </c>
      <c r="J131" s="8">
        <v>5.0</v>
      </c>
      <c r="K131" s="8">
        <v>4.9</v>
      </c>
      <c r="L131" s="4" t="s">
        <v>29</v>
      </c>
      <c r="M131" s="8">
        <v>1.0</v>
      </c>
      <c r="N131" s="8">
        <v>5.0</v>
      </c>
      <c r="O131" s="8">
        <v>40.0</v>
      </c>
      <c r="P131" s="9">
        <v>0.4818</v>
      </c>
      <c r="Q131" s="8">
        <v>141.0</v>
      </c>
      <c r="R131" s="10">
        <v>51.0</v>
      </c>
      <c r="S131" s="9">
        <v>0.5</v>
      </c>
      <c r="T131" s="11">
        <v>9.62</v>
      </c>
    </row>
    <row r="132">
      <c r="A132" s="1" t="s">
        <v>286</v>
      </c>
      <c r="B132" s="1" t="s">
        <v>287</v>
      </c>
      <c r="C132" s="1" t="s">
        <v>22</v>
      </c>
      <c r="D132" s="7">
        <v>45821.0</v>
      </c>
      <c r="E132" s="7">
        <v>45894.0</v>
      </c>
      <c r="F132" s="8">
        <v>38.0</v>
      </c>
      <c r="G132" s="8">
        <v>28.0</v>
      </c>
      <c r="H132" s="8">
        <v>9.7</v>
      </c>
      <c r="I132" s="9">
        <v>0.8158</v>
      </c>
      <c r="J132" s="8">
        <v>8.5</v>
      </c>
      <c r="K132" s="8">
        <v>7.7</v>
      </c>
      <c r="L132" s="4" t="s">
        <v>23</v>
      </c>
      <c r="M132" s="8">
        <v>4.0</v>
      </c>
      <c r="N132" s="8">
        <v>0.0</v>
      </c>
      <c r="O132" s="8">
        <v>42.0</v>
      </c>
      <c r="P132" s="9">
        <v>0.848</v>
      </c>
      <c r="Q132" s="8">
        <v>162.0</v>
      </c>
      <c r="R132" s="10">
        <v>73.0</v>
      </c>
      <c r="S132" s="9">
        <v>0.7368</v>
      </c>
      <c r="T132" s="11">
        <v>3.8</v>
      </c>
    </row>
    <row r="133">
      <c r="A133" s="1" t="s">
        <v>288</v>
      </c>
      <c r="B133" s="1" t="s">
        <v>289</v>
      </c>
      <c r="C133" s="1" t="s">
        <v>28</v>
      </c>
      <c r="D133" s="7">
        <v>45824.0</v>
      </c>
      <c r="E133" s="7">
        <v>45911.0</v>
      </c>
      <c r="F133" s="8">
        <v>38.0</v>
      </c>
      <c r="G133" s="8">
        <v>30.0</v>
      </c>
      <c r="H133" s="8">
        <v>8.9</v>
      </c>
      <c r="I133" s="9">
        <v>0.9033</v>
      </c>
      <c r="J133" s="8">
        <v>5.7</v>
      </c>
      <c r="K133" s="8">
        <v>4.9</v>
      </c>
      <c r="L133" s="4" t="s">
        <v>29</v>
      </c>
      <c r="M133" s="8">
        <v>3.0</v>
      </c>
      <c r="N133" s="8">
        <v>2.0</v>
      </c>
      <c r="O133" s="8">
        <v>20.0</v>
      </c>
      <c r="P133" s="9">
        <v>0.5584</v>
      </c>
      <c r="Q133" s="8">
        <v>124.0</v>
      </c>
      <c r="R133" s="10">
        <v>87.0</v>
      </c>
      <c r="S133" s="9">
        <v>0.7895</v>
      </c>
      <c r="T133" s="11">
        <v>4.44</v>
      </c>
    </row>
    <row r="134">
      <c r="A134" s="1" t="s">
        <v>290</v>
      </c>
      <c r="B134" s="1" t="s">
        <v>291</v>
      </c>
      <c r="C134" s="1" t="s">
        <v>32</v>
      </c>
      <c r="D134" s="7">
        <v>45824.0</v>
      </c>
      <c r="E134" s="7">
        <v>45894.0</v>
      </c>
      <c r="F134" s="8">
        <v>43.0</v>
      </c>
      <c r="G134" s="8">
        <v>38.0</v>
      </c>
      <c r="H134" s="8">
        <v>7.6</v>
      </c>
      <c r="I134" s="9">
        <v>0.9526</v>
      </c>
      <c r="J134" s="8">
        <v>4.9</v>
      </c>
      <c r="K134" s="8">
        <v>4.1</v>
      </c>
      <c r="L134" s="4" t="s">
        <v>33</v>
      </c>
      <c r="M134" s="8">
        <v>4.0</v>
      </c>
      <c r="N134" s="8">
        <v>1.0</v>
      </c>
      <c r="O134" s="8">
        <v>13.0</v>
      </c>
      <c r="P134" s="9">
        <v>0.5122</v>
      </c>
      <c r="Q134" s="8">
        <v>128.0</v>
      </c>
      <c r="R134" s="10">
        <v>70.0</v>
      </c>
      <c r="S134" s="9">
        <v>0.8837</v>
      </c>
      <c r="T134" s="11">
        <v>5.81</v>
      </c>
    </row>
    <row r="135">
      <c r="A135" s="1" t="s">
        <v>292</v>
      </c>
      <c r="B135" s="1" t="s">
        <v>293</v>
      </c>
      <c r="C135" s="1" t="s">
        <v>28</v>
      </c>
      <c r="D135" s="6">
        <v>45813.0</v>
      </c>
      <c r="E135" s="7">
        <v>45861.0</v>
      </c>
      <c r="F135" s="8">
        <v>26.0</v>
      </c>
      <c r="G135" s="8">
        <v>20.0</v>
      </c>
      <c r="H135" s="8">
        <v>7.8</v>
      </c>
      <c r="I135" s="9">
        <v>0.8217</v>
      </c>
      <c r="J135" s="8">
        <v>6.9</v>
      </c>
      <c r="K135" s="8">
        <v>6.8</v>
      </c>
      <c r="L135" s="4" t="s">
        <v>29</v>
      </c>
      <c r="M135" s="8">
        <v>2.0</v>
      </c>
      <c r="N135" s="8">
        <v>1.0</v>
      </c>
      <c r="O135" s="8">
        <v>29.0</v>
      </c>
      <c r="P135" s="9">
        <v>0.7511</v>
      </c>
      <c r="Q135" s="8">
        <v>123.0</v>
      </c>
      <c r="R135" s="10">
        <v>48.0</v>
      </c>
      <c r="S135" s="9">
        <v>0.7692</v>
      </c>
      <c r="T135" s="11">
        <v>4.93</v>
      </c>
    </row>
    <row r="136">
      <c r="A136" s="1" t="s">
        <v>294</v>
      </c>
      <c r="B136" s="1" t="s">
        <v>295</v>
      </c>
      <c r="C136" s="1" t="s">
        <v>32</v>
      </c>
      <c r="D136" s="7">
        <v>45832.0</v>
      </c>
      <c r="E136" s="7">
        <v>45864.0</v>
      </c>
      <c r="F136" s="8">
        <v>30.0</v>
      </c>
      <c r="G136" s="8">
        <v>16.0</v>
      </c>
      <c r="H136" s="8">
        <v>4.6</v>
      </c>
      <c r="I136" s="9">
        <v>0.7542</v>
      </c>
      <c r="J136" s="8">
        <v>2.1</v>
      </c>
      <c r="K136" s="8">
        <v>2.1</v>
      </c>
      <c r="L136" s="4" t="s">
        <v>33</v>
      </c>
      <c r="M136" s="8">
        <v>1.0</v>
      </c>
      <c r="N136" s="8">
        <v>5.0</v>
      </c>
      <c r="O136" s="8">
        <v>13.0</v>
      </c>
      <c r="P136" s="9">
        <v>0.2638</v>
      </c>
      <c r="Q136" s="8">
        <v>199.0</v>
      </c>
      <c r="R136" s="10">
        <v>32.0</v>
      </c>
      <c r="S136" s="9">
        <v>0.5333</v>
      </c>
      <c r="T136" s="11">
        <v>5.8</v>
      </c>
    </row>
    <row r="137">
      <c r="A137" s="1" t="s">
        <v>296</v>
      </c>
      <c r="B137" s="1" t="s">
        <v>297</v>
      </c>
      <c r="C137" s="1" t="s">
        <v>32</v>
      </c>
      <c r="D137" s="7">
        <v>45829.0</v>
      </c>
      <c r="E137" s="7">
        <v>45896.0</v>
      </c>
      <c r="F137" s="8">
        <v>28.0</v>
      </c>
      <c r="G137" s="8">
        <v>14.0</v>
      </c>
      <c r="H137" s="8">
        <v>1.5</v>
      </c>
      <c r="I137" s="9">
        <v>0.6902</v>
      </c>
      <c r="J137" s="8">
        <v>3.4</v>
      </c>
      <c r="K137" s="8">
        <v>4.2</v>
      </c>
      <c r="L137" s="4" t="s">
        <v>33</v>
      </c>
      <c r="M137" s="8">
        <v>3.0</v>
      </c>
      <c r="N137" s="8">
        <v>4.0</v>
      </c>
      <c r="O137" s="8">
        <v>29.0</v>
      </c>
      <c r="P137" s="9">
        <v>0.3075</v>
      </c>
      <c r="Q137" s="8">
        <v>183.0</v>
      </c>
      <c r="R137" s="10">
        <v>67.0</v>
      </c>
      <c r="S137" s="9">
        <v>0.5</v>
      </c>
      <c r="T137" s="11">
        <v>10.0</v>
      </c>
    </row>
    <row r="138">
      <c r="A138" s="1" t="s">
        <v>298</v>
      </c>
      <c r="B138" s="1" t="s">
        <v>299</v>
      </c>
      <c r="C138" s="1" t="s">
        <v>28</v>
      </c>
      <c r="D138" s="6">
        <v>45814.0</v>
      </c>
      <c r="E138" s="7">
        <v>45860.0</v>
      </c>
      <c r="F138" s="8">
        <v>42.0</v>
      </c>
      <c r="G138" s="8">
        <v>30.0</v>
      </c>
      <c r="H138" s="8">
        <v>6.4</v>
      </c>
      <c r="I138" s="9">
        <v>0.8081</v>
      </c>
      <c r="J138" s="8">
        <v>6.2</v>
      </c>
      <c r="K138" s="8">
        <v>6.3</v>
      </c>
      <c r="L138" s="4" t="s">
        <v>29</v>
      </c>
      <c r="M138" s="8">
        <v>5.0</v>
      </c>
      <c r="N138" s="8">
        <v>1.0</v>
      </c>
      <c r="O138" s="8">
        <v>32.0</v>
      </c>
      <c r="P138" s="9">
        <v>0.6488</v>
      </c>
      <c r="Q138" s="8">
        <v>134.0</v>
      </c>
      <c r="R138" s="10">
        <v>46.0</v>
      </c>
      <c r="S138" s="9">
        <v>0.7143</v>
      </c>
      <c r="T138" s="11">
        <v>5.58</v>
      </c>
    </row>
    <row r="139">
      <c r="A139" s="1" t="s">
        <v>300</v>
      </c>
      <c r="B139" s="1" t="s">
        <v>301</v>
      </c>
      <c r="C139" s="1" t="s">
        <v>32</v>
      </c>
      <c r="D139" s="6">
        <v>45811.0</v>
      </c>
      <c r="E139" s="7">
        <v>45882.0</v>
      </c>
      <c r="F139" s="8">
        <v>39.0</v>
      </c>
      <c r="G139" s="8">
        <v>20.0</v>
      </c>
      <c r="H139" s="8">
        <v>5.7</v>
      </c>
      <c r="I139" s="9">
        <v>0.764</v>
      </c>
      <c r="J139" s="8">
        <v>3.5</v>
      </c>
      <c r="K139" s="8">
        <v>3.7</v>
      </c>
      <c r="L139" s="4" t="s">
        <v>33</v>
      </c>
      <c r="M139" s="8">
        <v>2.0</v>
      </c>
      <c r="N139" s="8">
        <v>6.0</v>
      </c>
      <c r="O139" s="8">
        <v>23.0</v>
      </c>
      <c r="P139" s="9">
        <v>0.3426</v>
      </c>
      <c r="Q139" s="8">
        <v>145.0</v>
      </c>
      <c r="R139" s="10">
        <v>71.0</v>
      </c>
      <c r="S139" s="9">
        <v>0.5128</v>
      </c>
      <c r="T139" s="11">
        <v>4.5</v>
      </c>
    </row>
    <row r="140">
      <c r="A140" s="1" t="s">
        <v>302</v>
      </c>
      <c r="B140" s="1" t="s">
        <v>303</v>
      </c>
      <c r="C140" s="1" t="s">
        <v>22</v>
      </c>
      <c r="D140" s="7">
        <v>45832.0</v>
      </c>
      <c r="E140" s="7">
        <v>45881.0</v>
      </c>
      <c r="F140" s="8">
        <v>14.0</v>
      </c>
      <c r="G140" s="8">
        <v>12.0</v>
      </c>
      <c r="H140" s="8">
        <v>1.4</v>
      </c>
      <c r="I140" s="9">
        <v>0.9491</v>
      </c>
      <c r="J140" s="8">
        <v>9.5</v>
      </c>
      <c r="K140" s="8">
        <v>9.3</v>
      </c>
      <c r="L140" s="4" t="s">
        <v>23</v>
      </c>
      <c r="M140" s="8">
        <v>1.0</v>
      </c>
      <c r="N140" s="8">
        <v>1.0</v>
      </c>
      <c r="O140" s="8">
        <v>34.0</v>
      </c>
      <c r="P140" s="9">
        <v>0.9</v>
      </c>
      <c r="Q140" s="8">
        <v>155.0</v>
      </c>
      <c r="R140" s="10">
        <v>49.0</v>
      </c>
      <c r="S140" s="9">
        <v>0.8571</v>
      </c>
      <c r="T140" s="11">
        <v>10.0</v>
      </c>
    </row>
    <row r="141">
      <c r="A141" s="1" t="s">
        <v>304</v>
      </c>
      <c r="B141" s="1" t="s">
        <v>305</v>
      </c>
      <c r="C141" s="1" t="s">
        <v>28</v>
      </c>
      <c r="D141" s="7">
        <v>45818.0</v>
      </c>
      <c r="E141" s="6">
        <v>45901.0</v>
      </c>
      <c r="F141" s="8">
        <v>31.0</v>
      </c>
      <c r="G141" s="8">
        <v>16.0</v>
      </c>
      <c r="H141" s="8">
        <v>9.2</v>
      </c>
      <c r="I141" s="9">
        <v>0.6054</v>
      </c>
      <c r="J141" s="8">
        <v>4.2</v>
      </c>
      <c r="K141" s="8">
        <v>3.6</v>
      </c>
      <c r="L141" s="4" t="s">
        <v>29</v>
      </c>
      <c r="M141" s="8">
        <v>1.0</v>
      </c>
      <c r="N141" s="8">
        <v>0.0</v>
      </c>
      <c r="O141" s="8">
        <v>31.0</v>
      </c>
      <c r="P141" s="9">
        <v>0.3739</v>
      </c>
      <c r="Q141" s="8">
        <v>196.0</v>
      </c>
      <c r="R141" s="10">
        <v>83.0</v>
      </c>
      <c r="S141" s="9">
        <v>0.5161</v>
      </c>
      <c r="T141" s="11">
        <v>2.81</v>
      </c>
    </row>
    <row r="142">
      <c r="A142" s="1" t="s">
        <v>306</v>
      </c>
      <c r="B142" s="1" t="s">
        <v>307</v>
      </c>
      <c r="C142" s="1" t="s">
        <v>22</v>
      </c>
      <c r="D142" s="7">
        <v>45823.0</v>
      </c>
      <c r="E142" s="7">
        <v>45858.0</v>
      </c>
      <c r="F142" s="8">
        <v>29.0</v>
      </c>
      <c r="G142" s="8">
        <v>20.0</v>
      </c>
      <c r="H142" s="8">
        <v>4.1</v>
      </c>
      <c r="I142" s="9">
        <v>0.7073</v>
      </c>
      <c r="J142" s="8">
        <v>8.2</v>
      </c>
      <c r="K142" s="8">
        <v>8.9</v>
      </c>
      <c r="L142" s="4" t="s">
        <v>23</v>
      </c>
      <c r="M142" s="8">
        <v>2.0</v>
      </c>
      <c r="N142" s="8">
        <v>1.0</v>
      </c>
      <c r="O142" s="8">
        <v>38.0</v>
      </c>
      <c r="P142" s="9">
        <v>0.7836</v>
      </c>
      <c r="Q142" s="8">
        <v>151.0</v>
      </c>
      <c r="R142" s="10">
        <v>35.0</v>
      </c>
      <c r="S142" s="9">
        <v>0.6897</v>
      </c>
      <c r="T142" s="11">
        <v>8.41</v>
      </c>
    </row>
    <row r="143">
      <c r="A143" s="1" t="s">
        <v>308</v>
      </c>
      <c r="B143" s="1" t="s">
        <v>309</v>
      </c>
      <c r="C143" s="1" t="s">
        <v>32</v>
      </c>
      <c r="D143" s="7">
        <v>45825.0</v>
      </c>
      <c r="E143" s="6">
        <v>45878.0</v>
      </c>
      <c r="F143" s="8">
        <v>35.0</v>
      </c>
      <c r="G143" s="8">
        <v>23.0</v>
      </c>
      <c r="H143" s="8">
        <v>7.6</v>
      </c>
      <c r="I143" s="9">
        <v>0.8655</v>
      </c>
      <c r="J143" s="8">
        <v>5.0</v>
      </c>
      <c r="K143" s="8">
        <v>4.2</v>
      </c>
      <c r="L143" s="4" t="s">
        <v>33</v>
      </c>
      <c r="M143" s="8">
        <v>4.0</v>
      </c>
      <c r="N143" s="8">
        <v>2.0</v>
      </c>
      <c r="O143" s="8">
        <v>29.0</v>
      </c>
      <c r="P143" s="9">
        <v>0.5284</v>
      </c>
      <c r="Q143" s="8">
        <v>131.0</v>
      </c>
      <c r="R143" s="10">
        <v>53.0</v>
      </c>
      <c r="S143" s="9">
        <v>0.6571</v>
      </c>
      <c r="T143" s="11">
        <v>4.32</v>
      </c>
    </row>
    <row r="144">
      <c r="A144" s="1" t="s">
        <v>310</v>
      </c>
      <c r="B144" s="1" t="s">
        <v>311</v>
      </c>
      <c r="C144" s="1" t="s">
        <v>28</v>
      </c>
      <c r="D144" s="6">
        <v>45810.0</v>
      </c>
      <c r="E144" s="7">
        <v>45900.0</v>
      </c>
      <c r="F144" s="8">
        <v>13.0</v>
      </c>
      <c r="G144" s="8">
        <v>8.0</v>
      </c>
      <c r="H144" s="8">
        <v>7.2</v>
      </c>
      <c r="I144" s="9">
        <v>0.7398</v>
      </c>
      <c r="J144" s="8">
        <v>5.5</v>
      </c>
      <c r="K144" s="8">
        <v>5.8</v>
      </c>
      <c r="L144" s="4" t="s">
        <v>29</v>
      </c>
      <c r="M144" s="8">
        <v>1.0</v>
      </c>
      <c r="N144" s="8">
        <v>0.0</v>
      </c>
      <c r="O144" s="8">
        <v>28.0</v>
      </c>
      <c r="P144" s="9">
        <v>0.5518</v>
      </c>
      <c r="Q144" s="8">
        <v>162.0</v>
      </c>
      <c r="R144" s="10">
        <v>90.0</v>
      </c>
      <c r="S144" s="9">
        <v>0.6154</v>
      </c>
      <c r="T144" s="11">
        <v>4.27</v>
      </c>
    </row>
    <row r="145">
      <c r="A145" s="1" t="s">
        <v>312</v>
      </c>
      <c r="B145" s="1" t="s">
        <v>313</v>
      </c>
      <c r="C145" s="1" t="s">
        <v>22</v>
      </c>
      <c r="D145" s="6">
        <v>45810.0</v>
      </c>
      <c r="E145" s="7">
        <v>45849.0</v>
      </c>
      <c r="F145" s="8">
        <v>15.0</v>
      </c>
      <c r="G145" s="8">
        <v>8.0</v>
      </c>
      <c r="H145" s="8">
        <v>2.3</v>
      </c>
      <c r="I145" s="9">
        <v>0.6271</v>
      </c>
      <c r="J145" s="8">
        <v>7.3</v>
      </c>
      <c r="K145" s="8">
        <v>6.5</v>
      </c>
      <c r="L145" s="4" t="s">
        <v>23</v>
      </c>
      <c r="M145" s="8">
        <v>2.0</v>
      </c>
      <c r="N145" s="8">
        <v>1.0</v>
      </c>
      <c r="O145" s="8">
        <v>46.0</v>
      </c>
      <c r="P145" s="9">
        <v>0.7625</v>
      </c>
      <c r="Q145" s="8">
        <v>158.0</v>
      </c>
      <c r="R145" s="10">
        <v>39.0</v>
      </c>
      <c r="S145" s="9">
        <v>0.5333</v>
      </c>
      <c r="T145" s="11">
        <v>10.0</v>
      </c>
    </row>
    <row r="146">
      <c r="A146" s="1" t="s">
        <v>314</v>
      </c>
      <c r="B146" s="1" t="s">
        <v>315</v>
      </c>
      <c r="C146" s="1" t="s">
        <v>28</v>
      </c>
      <c r="D146" s="6">
        <v>45816.0</v>
      </c>
      <c r="E146" s="6">
        <v>45901.0</v>
      </c>
      <c r="F146" s="8">
        <v>41.0</v>
      </c>
      <c r="G146" s="8">
        <v>26.0</v>
      </c>
      <c r="H146" s="8">
        <v>4.0</v>
      </c>
      <c r="I146" s="9">
        <v>0.8182</v>
      </c>
      <c r="J146" s="8">
        <v>5.6</v>
      </c>
      <c r="K146" s="8">
        <v>5.7</v>
      </c>
      <c r="L146" s="4" t="s">
        <v>29</v>
      </c>
      <c r="M146" s="8">
        <v>2.0</v>
      </c>
      <c r="N146" s="8">
        <v>3.0</v>
      </c>
      <c r="O146" s="8">
        <v>34.0</v>
      </c>
      <c r="P146" s="9">
        <v>0.6412</v>
      </c>
      <c r="Q146" s="8">
        <v>198.0</v>
      </c>
      <c r="R146" s="10">
        <v>85.0</v>
      </c>
      <c r="S146" s="9">
        <v>0.6341</v>
      </c>
      <c r="T146" s="11">
        <v>7.93</v>
      </c>
    </row>
    <row r="147">
      <c r="A147" s="1" t="s">
        <v>316</v>
      </c>
      <c r="B147" s="1" t="s">
        <v>317</v>
      </c>
      <c r="C147" s="1" t="s">
        <v>32</v>
      </c>
      <c r="D147" s="7">
        <v>45828.0</v>
      </c>
      <c r="E147" s="7">
        <v>45896.0</v>
      </c>
      <c r="F147" s="8">
        <v>34.0</v>
      </c>
      <c r="G147" s="8">
        <v>26.0</v>
      </c>
      <c r="H147" s="8">
        <v>3.5</v>
      </c>
      <c r="I147" s="9">
        <v>0.9518</v>
      </c>
      <c r="J147" s="8">
        <v>5.0</v>
      </c>
      <c r="K147" s="8">
        <v>5.9</v>
      </c>
      <c r="L147" s="4" t="s">
        <v>33</v>
      </c>
      <c r="M147" s="8">
        <v>4.0</v>
      </c>
      <c r="N147" s="8">
        <v>4.0</v>
      </c>
      <c r="O147" s="8">
        <v>23.0</v>
      </c>
      <c r="P147" s="9">
        <v>0.4768</v>
      </c>
      <c r="Q147" s="8">
        <v>169.0</v>
      </c>
      <c r="R147" s="10">
        <v>68.0</v>
      </c>
      <c r="S147" s="9">
        <v>0.7647</v>
      </c>
      <c r="T147" s="11">
        <v>10.0</v>
      </c>
    </row>
    <row r="148">
      <c r="A148" s="1" t="s">
        <v>318</v>
      </c>
      <c r="B148" s="1" t="s">
        <v>319</v>
      </c>
      <c r="C148" s="1" t="s">
        <v>32</v>
      </c>
      <c r="D148" s="6">
        <v>45816.0</v>
      </c>
      <c r="E148" s="7">
        <v>45891.0</v>
      </c>
      <c r="F148" s="8">
        <v>37.0</v>
      </c>
      <c r="G148" s="8">
        <v>18.0</v>
      </c>
      <c r="H148" s="8">
        <v>3.8</v>
      </c>
      <c r="I148" s="9">
        <v>0.6374</v>
      </c>
      <c r="J148" s="8">
        <v>2.8</v>
      </c>
      <c r="K148" s="8">
        <v>2.0</v>
      </c>
      <c r="L148" s="4" t="s">
        <v>33</v>
      </c>
      <c r="M148" s="8">
        <v>2.0</v>
      </c>
      <c r="N148" s="8">
        <v>3.0</v>
      </c>
      <c r="O148" s="8">
        <v>14.0</v>
      </c>
      <c r="P148" s="9">
        <v>0.3068</v>
      </c>
      <c r="Q148" s="8">
        <v>161.0</v>
      </c>
      <c r="R148" s="10">
        <v>75.0</v>
      </c>
      <c r="S148" s="9">
        <v>0.4865</v>
      </c>
      <c r="T148" s="11">
        <v>6.4</v>
      </c>
    </row>
    <row r="149">
      <c r="A149" s="1" t="s">
        <v>320</v>
      </c>
      <c r="B149" s="1" t="s">
        <v>321</v>
      </c>
      <c r="C149" s="1" t="s">
        <v>28</v>
      </c>
      <c r="D149" s="7">
        <v>45819.0</v>
      </c>
      <c r="E149" s="7">
        <v>45896.0</v>
      </c>
      <c r="F149" s="8">
        <v>49.0</v>
      </c>
      <c r="G149" s="8">
        <v>36.0</v>
      </c>
      <c r="H149" s="8">
        <v>1.3</v>
      </c>
      <c r="I149" s="9">
        <v>0.779</v>
      </c>
      <c r="J149" s="8">
        <v>5.2</v>
      </c>
      <c r="K149" s="8">
        <v>6.1</v>
      </c>
      <c r="L149" s="4" t="s">
        <v>29</v>
      </c>
      <c r="M149" s="8">
        <v>4.0</v>
      </c>
      <c r="N149" s="8">
        <v>4.0</v>
      </c>
      <c r="O149" s="8">
        <v>25.0</v>
      </c>
      <c r="P149" s="9">
        <v>0.4803</v>
      </c>
      <c r="Q149" s="8">
        <v>123.0</v>
      </c>
      <c r="R149" s="10">
        <v>77.0</v>
      </c>
      <c r="S149" s="9">
        <v>0.7347</v>
      </c>
      <c r="T149" s="11">
        <v>10.0</v>
      </c>
    </row>
    <row r="150">
      <c r="A150" s="1" t="s">
        <v>322</v>
      </c>
      <c r="B150" s="1" t="s">
        <v>323</v>
      </c>
      <c r="C150" s="1" t="s">
        <v>32</v>
      </c>
      <c r="D150" s="6">
        <v>45814.0</v>
      </c>
      <c r="E150" s="6">
        <v>45871.0</v>
      </c>
      <c r="F150" s="8">
        <v>25.0</v>
      </c>
      <c r="G150" s="8">
        <v>19.0</v>
      </c>
      <c r="H150" s="8">
        <v>2.1</v>
      </c>
      <c r="I150" s="9">
        <v>0.9194</v>
      </c>
      <c r="J150" s="8">
        <v>5.5</v>
      </c>
      <c r="K150" s="8">
        <v>4.9</v>
      </c>
      <c r="L150" s="4" t="s">
        <v>33</v>
      </c>
      <c r="M150" s="8">
        <v>2.0</v>
      </c>
      <c r="N150" s="8">
        <v>3.0</v>
      </c>
      <c r="O150" s="8">
        <v>23.0</v>
      </c>
      <c r="P150" s="9">
        <v>0.6087</v>
      </c>
      <c r="Q150" s="8">
        <v>178.0</v>
      </c>
      <c r="R150" s="10">
        <v>57.0</v>
      </c>
      <c r="S150" s="9">
        <v>0.76</v>
      </c>
      <c r="T150" s="11">
        <v>10.0</v>
      </c>
    </row>
    <row r="151">
      <c r="A151" s="1" t="s">
        <v>324</v>
      </c>
      <c r="B151" s="1" t="s">
        <v>325</v>
      </c>
      <c r="C151" s="1" t="s">
        <v>22</v>
      </c>
      <c r="D151" s="7">
        <v>45827.0</v>
      </c>
      <c r="E151" s="7">
        <v>45862.0</v>
      </c>
      <c r="F151" s="8">
        <v>34.0</v>
      </c>
      <c r="G151" s="8">
        <v>19.0</v>
      </c>
      <c r="H151" s="8">
        <v>4.4</v>
      </c>
      <c r="I151" s="9">
        <v>0.6649</v>
      </c>
      <c r="J151" s="8">
        <v>6.6</v>
      </c>
      <c r="K151" s="8">
        <v>6.9</v>
      </c>
      <c r="L151" s="4" t="s">
        <v>23</v>
      </c>
      <c r="M151" s="8">
        <v>1.0</v>
      </c>
      <c r="N151" s="8">
        <v>1.0</v>
      </c>
      <c r="O151" s="8">
        <v>34.0</v>
      </c>
      <c r="P151" s="9">
        <v>0.6482</v>
      </c>
      <c r="Q151" s="8">
        <v>130.0</v>
      </c>
      <c r="R151" s="10">
        <v>35.0</v>
      </c>
      <c r="S151" s="9">
        <v>0.5588</v>
      </c>
      <c r="T151" s="11">
        <v>6.35</v>
      </c>
    </row>
    <row r="152">
      <c r="A152" s="1" t="s">
        <v>326</v>
      </c>
      <c r="B152" s="1" t="s">
        <v>327</v>
      </c>
      <c r="C152" s="1" t="s">
        <v>32</v>
      </c>
      <c r="D152" s="6">
        <v>45817.0</v>
      </c>
      <c r="E152" s="7">
        <v>45880.0</v>
      </c>
      <c r="F152" s="8">
        <v>35.0</v>
      </c>
      <c r="G152" s="8">
        <v>26.0</v>
      </c>
      <c r="H152" s="8">
        <v>1.8</v>
      </c>
      <c r="I152" s="9">
        <v>0.9605</v>
      </c>
      <c r="J152" s="8">
        <v>5.0</v>
      </c>
      <c r="K152" s="8">
        <v>4.6</v>
      </c>
      <c r="L152" s="4" t="s">
        <v>33</v>
      </c>
      <c r="M152" s="8">
        <v>4.0</v>
      </c>
      <c r="N152" s="8">
        <v>4.0</v>
      </c>
      <c r="O152" s="8">
        <v>21.0</v>
      </c>
      <c r="P152" s="9">
        <v>0.5821</v>
      </c>
      <c r="Q152" s="8">
        <v>166.0</v>
      </c>
      <c r="R152" s="10">
        <v>63.0</v>
      </c>
      <c r="S152" s="9">
        <v>0.7429</v>
      </c>
      <c r="T152" s="11">
        <v>10.0</v>
      </c>
    </row>
    <row r="153">
      <c r="A153" s="1" t="s">
        <v>328</v>
      </c>
      <c r="B153" s="1" t="s">
        <v>329</v>
      </c>
      <c r="C153" s="1" t="s">
        <v>28</v>
      </c>
      <c r="D153" s="6">
        <v>45816.0</v>
      </c>
      <c r="E153" s="7">
        <v>45880.0</v>
      </c>
      <c r="F153" s="8">
        <v>20.0</v>
      </c>
      <c r="G153" s="8">
        <v>10.0</v>
      </c>
      <c r="H153" s="8">
        <v>1.3</v>
      </c>
      <c r="I153" s="9">
        <v>0.6765</v>
      </c>
      <c r="J153" s="8">
        <v>4.7</v>
      </c>
      <c r="K153" s="8">
        <v>4.4</v>
      </c>
      <c r="L153" s="4" t="s">
        <v>29</v>
      </c>
      <c r="M153" s="8">
        <v>2.0</v>
      </c>
      <c r="N153" s="8">
        <v>3.0</v>
      </c>
      <c r="O153" s="8">
        <v>30.0</v>
      </c>
      <c r="P153" s="9">
        <v>0.4849</v>
      </c>
      <c r="Q153" s="8">
        <v>158.0</v>
      </c>
      <c r="R153" s="10">
        <v>64.0</v>
      </c>
      <c r="S153" s="9">
        <v>0.5</v>
      </c>
      <c r="T153" s="11">
        <v>10.0</v>
      </c>
    </row>
    <row r="154">
      <c r="A154" s="1" t="s">
        <v>330</v>
      </c>
      <c r="B154" s="1" t="s">
        <v>331</v>
      </c>
      <c r="C154" s="1" t="s">
        <v>32</v>
      </c>
      <c r="D154" s="7">
        <v>45820.0</v>
      </c>
      <c r="E154" s="7">
        <v>45885.0</v>
      </c>
      <c r="F154" s="8">
        <v>13.0</v>
      </c>
      <c r="G154" s="8">
        <v>6.0</v>
      </c>
      <c r="H154" s="8">
        <v>4.2</v>
      </c>
      <c r="I154" s="9">
        <v>0.6669</v>
      </c>
      <c r="J154" s="8">
        <v>3.6</v>
      </c>
      <c r="K154" s="8">
        <v>4.6</v>
      </c>
      <c r="L154" s="4" t="s">
        <v>33</v>
      </c>
      <c r="M154" s="8">
        <v>1.0</v>
      </c>
      <c r="N154" s="8">
        <v>3.0</v>
      </c>
      <c r="O154" s="8">
        <v>29.0</v>
      </c>
      <c r="P154" s="9">
        <v>0.3342</v>
      </c>
      <c r="Q154" s="8">
        <v>158.0</v>
      </c>
      <c r="R154" s="10">
        <v>65.0</v>
      </c>
      <c r="S154" s="9">
        <v>0.4615</v>
      </c>
      <c r="T154" s="11">
        <v>5.49</v>
      </c>
    </row>
    <row r="155">
      <c r="A155" s="1" t="s">
        <v>332</v>
      </c>
      <c r="B155" s="1" t="s">
        <v>333</v>
      </c>
      <c r="C155" s="1" t="s">
        <v>22</v>
      </c>
      <c r="D155" s="7">
        <v>45838.0</v>
      </c>
      <c r="E155" s="7">
        <v>45886.0</v>
      </c>
      <c r="F155" s="8">
        <v>36.0</v>
      </c>
      <c r="G155" s="8">
        <v>25.0</v>
      </c>
      <c r="H155" s="8">
        <v>3.0</v>
      </c>
      <c r="I155" s="9">
        <v>0.923</v>
      </c>
      <c r="J155" s="8">
        <v>7.6</v>
      </c>
      <c r="K155" s="8">
        <v>6.9</v>
      </c>
      <c r="L155" s="4" t="s">
        <v>23</v>
      </c>
      <c r="M155" s="8">
        <v>4.0</v>
      </c>
      <c r="N155" s="8">
        <v>3.0</v>
      </c>
      <c r="O155" s="8">
        <v>42.0</v>
      </c>
      <c r="P155" s="9">
        <v>0.7448</v>
      </c>
      <c r="Q155" s="8">
        <v>197.0</v>
      </c>
      <c r="R155" s="10">
        <v>48.0</v>
      </c>
      <c r="S155" s="9">
        <v>0.6944</v>
      </c>
      <c r="T155" s="11">
        <v>10.0</v>
      </c>
    </row>
    <row r="156">
      <c r="A156" s="1" t="s">
        <v>334</v>
      </c>
      <c r="B156" s="1" t="s">
        <v>335</v>
      </c>
      <c r="C156" s="1" t="s">
        <v>32</v>
      </c>
      <c r="D156" s="7">
        <v>45828.0</v>
      </c>
      <c r="E156" s="7">
        <v>45885.0</v>
      </c>
      <c r="F156" s="8">
        <v>33.0</v>
      </c>
      <c r="G156" s="8">
        <v>25.0</v>
      </c>
      <c r="H156" s="8">
        <v>9.8</v>
      </c>
      <c r="I156" s="9">
        <v>0.7916</v>
      </c>
      <c r="J156" s="8">
        <v>4.9</v>
      </c>
      <c r="K156" s="8">
        <v>5.3</v>
      </c>
      <c r="L156" s="4" t="s">
        <v>33</v>
      </c>
      <c r="M156" s="8">
        <v>2.0</v>
      </c>
      <c r="N156" s="8">
        <v>0.0</v>
      </c>
      <c r="O156" s="8">
        <v>26.0</v>
      </c>
      <c r="P156" s="9">
        <v>0.5342</v>
      </c>
      <c r="Q156" s="8">
        <v>190.0</v>
      </c>
      <c r="R156" s="10">
        <v>57.0</v>
      </c>
      <c r="S156" s="9">
        <v>0.7576</v>
      </c>
      <c r="T156" s="11">
        <v>3.87</v>
      </c>
    </row>
    <row r="157">
      <c r="A157" s="1" t="s">
        <v>336</v>
      </c>
      <c r="B157" s="1" t="s">
        <v>337</v>
      </c>
      <c r="C157" s="1" t="s">
        <v>32</v>
      </c>
      <c r="D157" s="6">
        <v>45812.0</v>
      </c>
      <c r="E157" s="7">
        <v>45900.0</v>
      </c>
      <c r="F157" s="8">
        <v>47.0</v>
      </c>
      <c r="G157" s="8">
        <v>28.0</v>
      </c>
      <c r="H157" s="8">
        <v>8.4</v>
      </c>
      <c r="I157" s="9">
        <v>0.8485</v>
      </c>
      <c r="J157" s="8">
        <v>4.2</v>
      </c>
      <c r="K157" s="8">
        <v>4.7</v>
      </c>
      <c r="L157" s="4" t="s">
        <v>33</v>
      </c>
      <c r="M157" s="8">
        <v>4.0</v>
      </c>
      <c r="N157" s="8">
        <v>4.0</v>
      </c>
      <c r="O157" s="8">
        <v>18.0</v>
      </c>
      <c r="P157" s="9">
        <v>0.4964</v>
      </c>
      <c r="Q157" s="8">
        <v>160.0</v>
      </c>
      <c r="R157" s="10">
        <v>88.0</v>
      </c>
      <c r="S157" s="9">
        <v>0.5957</v>
      </c>
      <c r="T157" s="11">
        <v>3.55</v>
      </c>
    </row>
    <row r="158">
      <c r="A158" s="1" t="s">
        <v>338</v>
      </c>
      <c r="B158" s="1" t="s">
        <v>339</v>
      </c>
      <c r="C158" s="1" t="s">
        <v>32</v>
      </c>
      <c r="D158" s="6">
        <v>45811.0</v>
      </c>
      <c r="E158" s="6">
        <v>45877.0</v>
      </c>
      <c r="F158" s="8">
        <v>44.0</v>
      </c>
      <c r="G158" s="8">
        <v>40.0</v>
      </c>
      <c r="H158" s="8">
        <v>6.2</v>
      </c>
      <c r="I158" s="9">
        <v>0.9956</v>
      </c>
      <c r="J158" s="8">
        <v>6.1</v>
      </c>
      <c r="K158" s="8">
        <v>5.2</v>
      </c>
      <c r="L158" s="4" t="s">
        <v>33</v>
      </c>
      <c r="M158" s="8">
        <v>4.0</v>
      </c>
      <c r="N158" s="8">
        <v>2.0</v>
      </c>
      <c r="O158" s="8">
        <v>25.0</v>
      </c>
      <c r="P158" s="9">
        <v>0.6493</v>
      </c>
      <c r="Q158" s="8">
        <v>192.0</v>
      </c>
      <c r="R158" s="10">
        <v>66.0</v>
      </c>
      <c r="S158" s="9">
        <v>0.9091</v>
      </c>
      <c r="T158" s="11">
        <v>7.33</v>
      </c>
    </row>
    <row r="159">
      <c r="A159" s="1" t="s">
        <v>340</v>
      </c>
      <c r="B159" s="1" t="s">
        <v>341</v>
      </c>
      <c r="C159" s="1" t="s">
        <v>22</v>
      </c>
      <c r="D159" s="7">
        <v>45823.0</v>
      </c>
      <c r="E159" s="7">
        <v>45899.0</v>
      </c>
      <c r="F159" s="8">
        <v>41.0</v>
      </c>
      <c r="G159" s="8">
        <v>37.0</v>
      </c>
      <c r="H159" s="8">
        <v>4.9</v>
      </c>
      <c r="I159" s="9">
        <v>0.9639</v>
      </c>
      <c r="J159" s="8">
        <v>10.0</v>
      </c>
      <c r="K159" s="8">
        <v>9.5</v>
      </c>
      <c r="L159" s="4" t="s">
        <v>23</v>
      </c>
      <c r="M159" s="8">
        <v>4.0</v>
      </c>
      <c r="N159" s="8">
        <v>1.0</v>
      </c>
      <c r="O159" s="8">
        <v>33.0</v>
      </c>
      <c r="P159" s="9">
        <v>0.9085</v>
      </c>
      <c r="Q159" s="8">
        <v>138.0</v>
      </c>
      <c r="R159" s="10">
        <v>76.0</v>
      </c>
      <c r="S159" s="9">
        <v>0.9024</v>
      </c>
      <c r="T159" s="11">
        <v>9.21</v>
      </c>
    </row>
    <row r="160">
      <c r="A160" s="1" t="s">
        <v>342</v>
      </c>
      <c r="B160" s="1" t="s">
        <v>343</v>
      </c>
      <c r="C160" s="1" t="s">
        <v>32</v>
      </c>
      <c r="D160" s="6">
        <v>45817.0</v>
      </c>
      <c r="E160" s="6">
        <v>45901.0</v>
      </c>
      <c r="F160" s="8">
        <v>13.0</v>
      </c>
      <c r="G160" s="8">
        <v>9.0</v>
      </c>
      <c r="H160" s="8">
        <v>6.9</v>
      </c>
      <c r="I160" s="9">
        <v>0.957</v>
      </c>
      <c r="J160" s="8">
        <v>3.4</v>
      </c>
      <c r="K160" s="8">
        <v>3.5</v>
      </c>
      <c r="L160" s="4" t="s">
        <v>33</v>
      </c>
      <c r="M160" s="8">
        <v>1.0</v>
      </c>
      <c r="N160" s="8">
        <v>5.0</v>
      </c>
      <c r="O160" s="8">
        <v>17.0</v>
      </c>
      <c r="P160" s="9">
        <v>0.3676</v>
      </c>
      <c r="Q160" s="8">
        <v>191.0</v>
      </c>
      <c r="R160" s="10">
        <v>84.0</v>
      </c>
      <c r="S160" s="9">
        <v>0.6923</v>
      </c>
      <c r="T160" s="11">
        <v>5.02</v>
      </c>
    </row>
    <row r="161">
      <c r="A161" s="1" t="s">
        <v>344</v>
      </c>
      <c r="B161" s="1" t="s">
        <v>345</v>
      </c>
      <c r="C161" s="1" t="s">
        <v>22</v>
      </c>
      <c r="D161" s="7">
        <v>45825.0</v>
      </c>
      <c r="E161" s="7">
        <v>45899.0</v>
      </c>
      <c r="F161" s="8">
        <v>21.0</v>
      </c>
      <c r="G161" s="8">
        <v>17.0</v>
      </c>
      <c r="H161" s="8">
        <v>3.1</v>
      </c>
      <c r="I161" s="9">
        <v>0.8536</v>
      </c>
      <c r="J161" s="8">
        <v>8.3</v>
      </c>
      <c r="K161" s="8">
        <v>6.5</v>
      </c>
      <c r="L161" s="4" t="s">
        <v>23</v>
      </c>
      <c r="M161" s="8">
        <v>3.0</v>
      </c>
      <c r="N161" s="8">
        <v>1.0</v>
      </c>
      <c r="O161" s="8">
        <v>35.0</v>
      </c>
      <c r="P161" s="9">
        <v>0.7533</v>
      </c>
      <c r="Q161" s="8">
        <v>159.0</v>
      </c>
      <c r="R161" s="10">
        <v>74.0</v>
      </c>
      <c r="S161" s="9">
        <v>0.8095</v>
      </c>
      <c r="T161" s="11">
        <v>10.0</v>
      </c>
    </row>
    <row r="162">
      <c r="A162" s="1" t="s">
        <v>346</v>
      </c>
      <c r="B162" s="1" t="s">
        <v>347</v>
      </c>
      <c r="C162" s="1" t="s">
        <v>32</v>
      </c>
      <c r="D162" s="7">
        <v>45819.0</v>
      </c>
      <c r="E162" s="7">
        <v>45890.0</v>
      </c>
      <c r="F162" s="8">
        <v>47.0</v>
      </c>
      <c r="G162" s="8">
        <v>33.0</v>
      </c>
      <c r="H162" s="8">
        <v>3.6</v>
      </c>
      <c r="I162" s="9">
        <v>0.7879</v>
      </c>
      <c r="J162" s="8">
        <v>4.8</v>
      </c>
      <c r="K162" s="8">
        <v>3.1</v>
      </c>
      <c r="L162" s="4" t="s">
        <v>33</v>
      </c>
      <c r="M162" s="8">
        <v>4.0</v>
      </c>
      <c r="N162" s="8">
        <v>2.0</v>
      </c>
      <c r="O162" s="8">
        <v>25.0</v>
      </c>
      <c r="P162" s="9">
        <v>0.4079</v>
      </c>
      <c r="Q162" s="8">
        <v>128.0</v>
      </c>
      <c r="R162" s="10">
        <v>71.0</v>
      </c>
      <c r="S162" s="9">
        <v>0.7021</v>
      </c>
      <c r="T162" s="11">
        <v>9.75</v>
      </c>
    </row>
    <row r="163">
      <c r="A163" s="1" t="s">
        <v>348</v>
      </c>
      <c r="B163" s="1" t="s">
        <v>349</v>
      </c>
      <c r="C163" s="1" t="s">
        <v>22</v>
      </c>
      <c r="D163" s="7">
        <v>45821.0</v>
      </c>
      <c r="E163" s="7">
        <v>45896.0</v>
      </c>
      <c r="F163" s="8">
        <v>48.0</v>
      </c>
      <c r="G163" s="8">
        <v>39.0</v>
      </c>
      <c r="H163" s="8">
        <v>7.1</v>
      </c>
      <c r="I163" s="9">
        <v>0.9267</v>
      </c>
      <c r="J163" s="8">
        <v>9.4</v>
      </c>
      <c r="K163" s="8">
        <v>9.4</v>
      </c>
      <c r="L163" s="4" t="s">
        <v>23</v>
      </c>
      <c r="M163" s="8">
        <v>4.0</v>
      </c>
      <c r="N163" s="8">
        <v>1.0</v>
      </c>
      <c r="O163" s="8">
        <v>46.0</v>
      </c>
      <c r="P163" s="9">
        <v>0.9105</v>
      </c>
      <c r="Q163" s="8">
        <v>159.0</v>
      </c>
      <c r="R163" s="10">
        <v>75.0</v>
      </c>
      <c r="S163" s="9">
        <v>0.8125</v>
      </c>
      <c r="T163" s="11">
        <v>5.72</v>
      </c>
    </row>
    <row r="164">
      <c r="A164" s="1" t="s">
        <v>350</v>
      </c>
      <c r="B164" s="1" t="s">
        <v>351</v>
      </c>
      <c r="C164" s="1" t="s">
        <v>32</v>
      </c>
      <c r="D164" s="7">
        <v>45826.0</v>
      </c>
      <c r="E164" s="7">
        <v>45891.0</v>
      </c>
      <c r="F164" s="8">
        <v>35.0</v>
      </c>
      <c r="G164" s="8">
        <v>21.0</v>
      </c>
      <c r="H164" s="8">
        <v>7.2</v>
      </c>
      <c r="I164" s="9">
        <v>0.7687</v>
      </c>
      <c r="J164" s="8">
        <v>3.3</v>
      </c>
      <c r="K164" s="8">
        <v>3.1</v>
      </c>
      <c r="L164" s="4" t="s">
        <v>33</v>
      </c>
      <c r="M164" s="8">
        <v>2.0</v>
      </c>
      <c r="N164" s="8">
        <v>4.0</v>
      </c>
      <c r="O164" s="8">
        <v>21.0</v>
      </c>
      <c r="P164" s="9">
        <v>0.2854</v>
      </c>
      <c r="Q164" s="8">
        <v>138.0</v>
      </c>
      <c r="R164" s="10">
        <v>65.0</v>
      </c>
      <c r="S164" s="9">
        <v>0.6</v>
      </c>
      <c r="T164" s="11">
        <v>4.17</v>
      </c>
    </row>
    <row r="165">
      <c r="A165" s="1" t="s">
        <v>352</v>
      </c>
      <c r="B165" s="1" t="s">
        <v>353</v>
      </c>
      <c r="C165" s="1" t="s">
        <v>22</v>
      </c>
      <c r="D165" s="7">
        <v>45818.0</v>
      </c>
      <c r="E165" s="7">
        <v>45860.0</v>
      </c>
      <c r="F165" s="8">
        <v>24.0</v>
      </c>
      <c r="G165" s="8">
        <v>17.0</v>
      </c>
      <c r="H165" s="8">
        <v>6.8</v>
      </c>
      <c r="I165" s="9">
        <v>0.8385</v>
      </c>
      <c r="J165" s="8">
        <v>8.7</v>
      </c>
      <c r="K165" s="8">
        <v>9.3</v>
      </c>
      <c r="L165" s="4" t="s">
        <v>23</v>
      </c>
      <c r="M165" s="8">
        <v>2.0</v>
      </c>
      <c r="N165" s="8">
        <v>1.0</v>
      </c>
      <c r="O165" s="8">
        <v>37.0</v>
      </c>
      <c r="P165" s="9">
        <v>0.8853</v>
      </c>
      <c r="Q165" s="8">
        <v>170.0</v>
      </c>
      <c r="R165" s="10">
        <v>42.0</v>
      </c>
      <c r="S165" s="9">
        <v>0.7083</v>
      </c>
      <c r="T165" s="11">
        <v>5.21</v>
      </c>
    </row>
    <row r="166">
      <c r="A166" s="1" t="s">
        <v>354</v>
      </c>
      <c r="B166" s="1" t="s">
        <v>355</v>
      </c>
      <c r="C166" s="1" t="s">
        <v>22</v>
      </c>
      <c r="D166" s="6">
        <v>45811.0</v>
      </c>
      <c r="E166" s="7">
        <v>45852.0</v>
      </c>
      <c r="F166" s="8">
        <v>11.0</v>
      </c>
      <c r="G166" s="8">
        <v>10.0</v>
      </c>
      <c r="H166" s="8">
        <v>9.9</v>
      </c>
      <c r="I166" s="9">
        <v>0.9653</v>
      </c>
      <c r="J166" s="8">
        <v>9.0</v>
      </c>
      <c r="K166" s="8">
        <v>9.4</v>
      </c>
      <c r="L166" s="4" t="s">
        <v>23</v>
      </c>
      <c r="M166" s="8">
        <v>2.0</v>
      </c>
      <c r="N166" s="8">
        <v>2.0</v>
      </c>
      <c r="O166" s="8">
        <v>36.0</v>
      </c>
      <c r="P166" s="9">
        <v>0.9459</v>
      </c>
      <c r="Q166" s="8">
        <v>184.0</v>
      </c>
      <c r="R166" s="10">
        <v>41.0</v>
      </c>
      <c r="S166" s="9">
        <v>0.9091</v>
      </c>
      <c r="T166" s="11">
        <v>4.59</v>
      </c>
    </row>
    <row r="167">
      <c r="A167" s="1" t="s">
        <v>356</v>
      </c>
      <c r="B167" s="1" t="s">
        <v>357</v>
      </c>
      <c r="C167" s="1" t="s">
        <v>28</v>
      </c>
      <c r="D167" s="6">
        <v>45811.0</v>
      </c>
      <c r="E167" s="6">
        <v>45876.0</v>
      </c>
      <c r="F167" s="8">
        <v>30.0</v>
      </c>
      <c r="G167" s="8">
        <v>17.0</v>
      </c>
      <c r="H167" s="8">
        <v>5.2</v>
      </c>
      <c r="I167" s="9">
        <v>0.6338</v>
      </c>
      <c r="J167" s="8">
        <v>5.4</v>
      </c>
      <c r="K167" s="8">
        <v>6.1</v>
      </c>
      <c r="L167" s="4" t="s">
        <v>29</v>
      </c>
      <c r="M167" s="8">
        <v>1.0</v>
      </c>
      <c r="N167" s="8">
        <v>0.0</v>
      </c>
      <c r="O167" s="8">
        <v>34.0</v>
      </c>
      <c r="P167" s="9">
        <v>0.5232</v>
      </c>
      <c r="Q167" s="8">
        <v>192.0</v>
      </c>
      <c r="R167" s="10">
        <v>65.0</v>
      </c>
      <c r="S167" s="9">
        <v>0.5667</v>
      </c>
      <c r="T167" s="11">
        <v>5.45</v>
      </c>
    </row>
    <row r="168">
      <c r="A168" s="1" t="s">
        <v>358</v>
      </c>
      <c r="B168" s="1" t="s">
        <v>359</v>
      </c>
      <c r="C168" s="1" t="s">
        <v>22</v>
      </c>
      <c r="D168" s="6">
        <v>45813.0</v>
      </c>
      <c r="E168" s="6">
        <v>45870.0</v>
      </c>
      <c r="F168" s="8">
        <v>49.0</v>
      </c>
      <c r="G168" s="8">
        <v>27.0</v>
      </c>
      <c r="H168" s="8">
        <v>4.5</v>
      </c>
      <c r="I168" s="9">
        <v>0.7225</v>
      </c>
      <c r="J168" s="8">
        <v>6.4</v>
      </c>
      <c r="K168" s="8">
        <v>7.4</v>
      </c>
      <c r="L168" s="4" t="s">
        <v>23</v>
      </c>
      <c r="M168" s="8">
        <v>4.0</v>
      </c>
      <c r="N168" s="8">
        <v>4.0</v>
      </c>
      <c r="O168" s="8">
        <v>41.0</v>
      </c>
      <c r="P168" s="9">
        <v>0.7944</v>
      </c>
      <c r="Q168" s="8">
        <v>187.0</v>
      </c>
      <c r="R168" s="10">
        <v>57.0</v>
      </c>
      <c r="S168" s="9">
        <v>0.551</v>
      </c>
      <c r="T168" s="11">
        <v>6.12</v>
      </c>
    </row>
    <row r="169">
      <c r="A169" s="1" t="s">
        <v>360</v>
      </c>
      <c r="B169" s="1" t="s">
        <v>361</v>
      </c>
      <c r="C169" s="1" t="s">
        <v>22</v>
      </c>
      <c r="D169" s="6">
        <v>45814.0</v>
      </c>
      <c r="E169" s="7">
        <v>45892.0</v>
      </c>
      <c r="F169" s="8">
        <v>29.0</v>
      </c>
      <c r="G169" s="8">
        <v>17.0</v>
      </c>
      <c r="H169" s="8">
        <v>4.4</v>
      </c>
      <c r="I169" s="9">
        <v>0.6179</v>
      </c>
      <c r="J169" s="8">
        <v>5.0</v>
      </c>
      <c r="K169" s="8">
        <v>5.3</v>
      </c>
      <c r="L169" s="4" t="s">
        <v>23</v>
      </c>
      <c r="M169" s="8">
        <v>1.0</v>
      </c>
      <c r="N169" s="8">
        <v>0.0</v>
      </c>
      <c r="O169" s="8">
        <v>30.0</v>
      </c>
      <c r="P169" s="9">
        <v>0.5663</v>
      </c>
      <c r="Q169" s="8">
        <v>127.0</v>
      </c>
      <c r="R169" s="10">
        <v>78.0</v>
      </c>
      <c r="S169" s="9">
        <v>0.5862</v>
      </c>
      <c r="T169" s="11">
        <v>6.66</v>
      </c>
    </row>
    <row r="170">
      <c r="A170" s="1" t="s">
        <v>362</v>
      </c>
      <c r="B170" s="1" t="s">
        <v>363</v>
      </c>
      <c r="C170" s="1" t="s">
        <v>28</v>
      </c>
      <c r="D170" s="7">
        <v>45835.0</v>
      </c>
      <c r="E170" s="6">
        <v>45870.0</v>
      </c>
      <c r="F170" s="8">
        <v>14.0</v>
      </c>
      <c r="G170" s="8">
        <v>8.0</v>
      </c>
      <c r="H170" s="8">
        <v>1.9</v>
      </c>
      <c r="I170" s="9">
        <v>0.7458</v>
      </c>
      <c r="J170" s="8">
        <v>5.8</v>
      </c>
      <c r="K170" s="8">
        <v>4.6</v>
      </c>
      <c r="L170" s="4" t="s">
        <v>29</v>
      </c>
      <c r="M170" s="8">
        <v>1.0</v>
      </c>
      <c r="N170" s="8">
        <v>2.0</v>
      </c>
      <c r="O170" s="8">
        <v>39.0</v>
      </c>
      <c r="P170" s="9">
        <v>0.5075</v>
      </c>
      <c r="Q170" s="8">
        <v>134.0</v>
      </c>
      <c r="R170" s="10">
        <v>35.0</v>
      </c>
      <c r="S170" s="9">
        <v>0.5714</v>
      </c>
      <c r="T170" s="11">
        <v>10.0</v>
      </c>
    </row>
    <row r="171">
      <c r="A171" s="1" t="s">
        <v>364</v>
      </c>
      <c r="B171" s="1" t="s">
        <v>365</v>
      </c>
      <c r="C171" s="1" t="s">
        <v>22</v>
      </c>
      <c r="D171" s="7">
        <v>45823.0</v>
      </c>
      <c r="E171" s="7">
        <v>45911.0</v>
      </c>
      <c r="F171" s="8">
        <v>46.0</v>
      </c>
      <c r="G171" s="8">
        <v>27.0</v>
      </c>
      <c r="H171" s="8">
        <v>10.0</v>
      </c>
      <c r="I171" s="9">
        <v>0.7951</v>
      </c>
      <c r="J171" s="8">
        <v>6.9</v>
      </c>
      <c r="K171" s="8">
        <v>6.3</v>
      </c>
      <c r="L171" s="4" t="s">
        <v>23</v>
      </c>
      <c r="M171" s="8">
        <v>3.0</v>
      </c>
      <c r="N171" s="8">
        <v>1.0</v>
      </c>
      <c r="O171" s="8">
        <v>39.0</v>
      </c>
      <c r="P171" s="9">
        <v>0.6947</v>
      </c>
      <c r="Q171" s="8">
        <v>136.0</v>
      </c>
      <c r="R171" s="10">
        <v>88.0</v>
      </c>
      <c r="S171" s="9">
        <v>0.587</v>
      </c>
      <c r="T171" s="11">
        <v>2.93</v>
      </c>
    </row>
    <row r="172">
      <c r="A172" s="1" t="s">
        <v>366</v>
      </c>
      <c r="B172" s="1" t="s">
        <v>367</v>
      </c>
      <c r="C172" s="1" t="s">
        <v>28</v>
      </c>
      <c r="D172" s="7">
        <v>45819.0</v>
      </c>
      <c r="E172" s="7">
        <v>45892.0</v>
      </c>
      <c r="F172" s="8">
        <v>32.0</v>
      </c>
      <c r="G172" s="8">
        <v>16.0</v>
      </c>
      <c r="H172" s="8">
        <v>3.3</v>
      </c>
      <c r="I172" s="9">
        <v>0.7542</v>
      </c>
      <c r="J172" s="8">
        <v>4.7</v>
      </c>
      <c r="K172" s="8">
        <v>3.8</v>
      </c>
      <c r="L172" s="4" t="s">
        <v>29</v>
      </c>
      <c r="M172" s="8">
        <v>3.0</v>
      </c>
      <c r="N172" s="8">
        <v>4.0</v>
      </c>
      <c r="O172" s="8">
        <v>35.0</v>
      </c>
      <c r="P172" s="9">
        <v>0.4267</v>
      </c>
      <c r="Q172" s="8">
        <v>187.0</v>
      </c>
      <c r="R172" s="10">
        <v>73.0</v>
      </c>
      <c r="S172" s="9">
        <v>0.5</v>
      </c>
      <c r="T172" s="11">
        <v>7.58</v>
      </c>
    </row>
    <row r="173">
      <c r="A173" s="1" t="s">
        <v>368</v>
      </c>
      <c r="B173" s="1" t="s">
        <v>369</v>
      </c>
      <c r="C173" s="1" t="s">
        <v>22</v>
      </c>
      <c r="D173" s="7">
        <v>45832.0</v>
      </c>
      <c r="E173" s="7">
        <v>45918.0</v>
      </c>
      <c r="F173" s="8">
        <v>43.0</v>
      </c>
      <c r="G173" s="8">
        <v>24.0</v>
      </c>
      <c r="H173" s="8">
        <v>9.9</v>
      </c>
      <c r="I173" s="9">
        <v>0.7389</v>
      </c>
      <c r="J173" s="8">
        <v>6.7</v>
      </c>
      <c r="K173" s="8">
        <v>6.9</v>
      </c>
      <c r="L173" s="4" t="s">
        <v>23</v>
      </c>
      <c r="M173" s="8">
        <v>3.0</v>
      </c>
      <c r="N173" s="8">
        <v>0.0</v>
      </c>
      <c r="O173" s="8">
        <v>32.0</v>
      </c>
      <c r="P173" s="9">
        <v>0.715</v>
      </c>
      <c r="Q173" s="8">
        <v>138.0</v>
      </c>
      <c r="R173" s="10">
        <v>86.0</v>
      </c>
      <c r="S173" s="9">
        <v>0.5581</v>
      </c>
      <c r="T173" s="11">
        <v>2.82</v>
      </c>
    </row>
    <row r="174">
      <c r="A174" s="1" t="s">
        <v>370</v>
      </c>
      <c r="B174" s="1" t="s">
        <v>371</v>
      </c>
      <c r="C174" s="1" t="s">
        <v>22</v>
      </c>
      <c r="D174" s="7">
        <v>45830.0</v>
      </c>
      <c r="E174" s="6">
        <v>45871.0</v>
      </c>
      <c r="F174" s="8">
        <v>14.0</v>
      </c>
      <c r="G174" s="8">
        <v>10.0</v>
      </c>
      <c r="H174" s="8">
        <v>3.0</v>
      </c>
      <c r="I174" s="9">
        <v>0.6805</v>
      </c>
      <c r="J174" s="8">
        <v>7.2</v>
      </c>
      <c r="K174" s="8">
        <v>7.4</v>
      </c>
      <c r="L174" s="4" t="s">
        <v>23</v>
      </c>
      <c r="M174" s="8">
        <v>1.0</v>
      </c>
      <c r="N174" s="8">
        <v>0.0</v>
      </c>
      <c r="O174" s="8">
        <v>50.0</v>
      </c>
      <c r="P174" s="9">
        <v>0.8085</v>
      </c>
      <c r="Q174" s="8">
        <v>130.0</v>
      </c>
      <c r="R174" s="10">
        <v>41.0</v>
      </c>
      <c r="S174" s="9">
        <v>0.7143</v>
      </c>
      <c r="T174" s="11">
        <v>10.0</v>
      </c>
    </row>
    <row r="175">
      <c r="A175" s="1" t="s">
        <v>372</v>
      </c>
      <c r="B175" s="1" t="s">
        <v>373</v>
      </c>
      <c r="C175" s="1" t="s">
        <v>32</v>
      </c>
      <c r="D175" s="6">
        <v>45814.0</v>
      </c>
      <c r="E175" s="7">
        <v>45879.0</v>
      </c>
      <c r="F175" s="8">
        <v>28.0</v>
      </c>
      <c r="G175" s="8">
        <v>17.0</v>
      </c>
      <c r="H175" s="8">
        <v>7.8</v>
      </c>
      <c r="I175" s="9">
        <v>0.8197</v>
      </c>
      <c r="J175" s="8">
        <v>3.6</v>
      </c>
      <c r="K175" s="8">
        <v>2.3</v>
      </c>
      <c r="L175" s="4" t="s">
        <v>33</v>
      </c>
      <c r="M175" s="8">
        <v>3.0</v>
      </c>
      <c r="N175" s="8">
        <v>4.0</v>
      </c>
      <c r="O175" s="8">
        <v>14.0</v>
      </c>
      <c r="P175" s="9">
        <v>0.3561</v>
      </c>
      <c r="Q175" s="8">
        <v>152.0</v>
      </c>
      <c r="R175" s="10">
        <v>65.0</v>
      </c>
      <c r="S175" s="9">
        <v>0.6071</v>
      </c>
      <c r="T175" s="11">
        <v>3.89</v>
      </c>
    </row>
    <row r="176">
      <c r="A176" s="1" t="s">
        <v>374</v>
      </c>
      <c r="B176" s="1" t="s">
        <v>375</v>
      </c>
      <c r="C176" s="1" t="s">
        <v>22</v>
      </c>
      <c r="D176" s="6">
        <v>45817.0</v>
      </c>
      <c r="E176" s="7">
        <v>45894.0</v>
      </c>
      <c r="F176" s="8">
        <v>26.0</v>
      </c>
      <c r="G176" s="8">
        <v>20.0</v>
      </c>
      <c r="H176" s="8">
        <v>7.9</v>
      </c>
      <c r="I176" s="9">
        <v>0.8251</v>
      </c>
      <c r="J176" s="8">
        <v>8.1</v>
      </c>
      <c r="K176" s="8">
        <v>8.5</v>
      </c>
      <c r="L176" s="4" t="s">
        <v>23</v>
      </c>
      <c r="M176" s="8">
        <v>1.0</v>
      </c>
      <c r="N176" s="8">
        <v>2.0</v>
      </c>
      <c r="O176" s="8">
        <v>44.0</v>
      </c>
      <c r="P176" s="9">
        <v>0.8145</v>
      </c>
      <c r="Q176" s="8">
        <v>200.0</v>
      </c>
      <c r="R176" s="10">
        <v>77.0</v>
      </c>
      <c r="S176" s="9">
        <v>0.7692</v>
      </c>
      <c r="T176" s="11">
        <v>4.87</v>
      </c>
    </row>
    <row r="177">
      <c r="A177" s="1" t="s">
        <v>376</v>
      </c>
      <c r="B177" s="1" t="s">
        <v>377</v>
      </c>
      <c r="C177" s="1" t="s">
        <v>22</v>
      </c>
      <c r="D177" s="7">
        <v>45824.0</v>
      </c>
      <c r="E177" s="6">
        <v>45874.0</v>
      </c>
      <c r="F177" s="8">
        <v>47.0</v>
      </c>
      <c r="G177" s="8">
        <v>38.0</v>
      </c>
      <c r="H177" s="8">
        <v>9.4</v>
      </c>
      <c r="I177" s="9">
        <v>0.8561</v>
      </c>
      <c r="J177" s="8">
        <v>8.3</v>
      </c>
      <c r="K177" s="8">
        <v>9.9</v>
      </c>
      <c r="L177" s="4" t="s">
        <v>23</v>
      </c>
      <c r="M177" s="8">
        <v>5.0</v>
      </c>
      <c r="N177" s="8">
        <v>1.0</v>
      </c>
      <c r="O177" s="8">
        <v>30.0</v>
      </c>
      <c r="P177" s="9">
        <v>0.853</v>
      </c>
      <c r="Q177" s="8">
        <v>160.0</v>
      </c>
      <c r="R177" s="10">
        <v>50.0</v>
      </c>
      <c r="S177" s="9">
        <v>0.8085</v>
      </c>
      <c r="T177" s="11">
        <v>4.3</v>
      </c>
    </row>
    <row r="178">
      <c r="A178" s="1" t="s">
        <v>378</v>
      </c>
      <c r="B178" s="1" t="s">
        <v>379</v>
      </c>
      <c r="C178" s="1" t="s">
        <v>28</v>
      </c>
      <c r="D178" s="6">
        <v>45809.0</v>
      </c>
      <c r="E178" s="6">
        <v>45847.0</v>
      </c>
      <c r="F178" s="8">
        <v>39.0</v>
      </c>
      <c r="G178" s="8">
        <v>23.0</v>
      </c>
      <c r="H178" s="8">
        <v>2.3</v>
      </c>
      <c r="I178" s="9">
        <v>0.7115</v>
      </c>
      <c r="J178" s="8">
        <v>5.4</v>
      </c>
      <c r="K178" s="8">
        <v>6.0</v>
      </c>
      <c r="L178" s="4" t="s">
        <v>29</v>
      </c>
      <c r="M178" s="8">
        <v>4.0</v>
      </c>
      <c r="N178" s="8">
        <v>3.0</v>
      </c>
      <c r="O178" s="8">
        <v>34.0</v>
      </c>
      <c r="P178" s="9">
        <v>0.5777</v>
      </c>
      <c r="Q178" s="8">
        <v>185.0</v>
      </c>
      <c r="R178" s="10">
        <v>38.0</v>
      </c>
      <c r="S178" s="9">
        <v>0.5897</v>
      </c>
      <c r="T178" s="11">
        <v>10.0</v>
      </c>
    </row>
    <row r="179">
      <c r="A179" s="1" t="s">
        <v>380</v>
      </c>
      <c r="B179" s="1" t="s">
        <v>381</v>
      </c>
      <c r="C179" s="1" t="s">
        <v>22</v>
      </c>
      <c r="D179" s="6">
        <v>45810.0</v>
      </c>
      <c r="E179" s="7">
        <v>45884.0</v>
      </c>
      <c r="F179" s="8">
        <v>13.0</v>
      </c>
      <c r="G179" s="8">
        <v>7.0</v>
      </c>
      <c r="H179" s="8">
        <v>4.1</v>
      </c>
      <c r="I179" s="9">
        <v>0.6418</v>
      </c>
      <c r="J179" s="8">
        <v>6.3</v>
      </c>
      <c r="K179" s="8">
        <v>6.4</v>
      </c>
      <c r="L179" s="4" t="s">
        <v>23</v>
      </c>
      <c r="M179" s="8">
        <v>1.0</v>
      </c>
      <c r="N179" s="8">
        <v>1.0</v>
      </c>
      <c r="O179" s="8">
        <v>38.0</v>
      </c>
      <c r="P179" s="9">
        <v>0.6233</v>
      </c>
      <c r="Q179" s="8">
        <v>180.0</v>
      </c>
      <c r="R179" s="10">
        <v>74.0</v>
      </c>
      <c r="S179" s="9">
        <v>0.5385</v>
      </c>
      <c r="T179" s="11">
        <v>6.57</v>
      </c>
    </row>
    <row r="180">
      <c r="A180" s="1" t="s">
        <v>382</v>
      </c>
      <c r="B180" s="1" t="s">
        <v>383</v>
      </c>
      <c r="C180" s="1" t="s">
        <v>28</v>
      </c>
      <c r="D180" s="7">
        <v>45836.0</v>
      </c>
      <c r="E180" s="7">
        <v>45912.0</v>
      </c>
      <c r="F180" s="8">
        <v>43.0</v>
      </c>
      <c r="G180" s="8">
        <v>26.0</v>
      </c>
      <c r="H180" s="8">
        <v>1.5</v>
      </c>
      <c r="I180" s="9">
        <v>0.6404</v>
      </c>
      <c r="J180" s="8">
        <v>5.0</v>
      </c>
      <c r="K180" s="8">
        <v>4.9</v>
      </c>
      <c r="L180" s="4" t="s">
        <v>29</v>
      </c>
      <c r="M180" s="8">
        <v>3.0</v>
      </c>
      <c r="N180" s="8">
        <v>1.0</v>
      </c>
      <c r="O180" s="8">
        <v>25.0</v>
      </c>
      <c r="P180" s="9">
        <v>0.4645</v>
      </c>
      <c r="Q180" s="8">
        <v>158.0</v>
      </c>
      <c r="R180" s="10">
        <v>76.0</v>
      </c>
      <c r="S180" s="9">
        <v>0.6047</v>
      </c>
      <c r="T180" s="11">
        <v>10.0</v>
      </c>
    </row>
    <row r="181">
      <c r="A181" s="1" t="s">
        <v>384</v>
      </c>
      <c r="B181" s="1" t="s">
        <v>385</v>
      </c>
      <c r="C181" s="1" t="s">
        <v>28</v>
      </c>
      <c r="D181" s="7">
        <v>45830.0</v>
      </c>
      <c r="E181" s="7">
        <v>45884.0</v>
      </c>
      <c r="F181" s="8">
        <v>38.0</v>
      </c>
      <c r="G181" s="8">
        <v>28.0</v>
      </c>
      <c r="H181" s="8">
        <v>5.9</v>
      </c>
      <c r="I181" s="9">
        <v>0.7605</v>
      </c>
      <c r="J181" s="8">
        <v>6.2</v>
      </c>
      <c r="K181" s="8">
        <v>5.9</v>
      </c>
      <c r="L181" s="4" t="s">
        <v>29</v>
      </c>
      <c r="M181" s="8">
        <v>5.0</v>
      </c>
      <c r="N181" s="8">
        <v>1.0</v>
      </c>
      <c r="O181" s="8">
        <v>33.0</v>
      </c>
      <c r="P181" s="9">
        <v>0.5509</v>
      </c>
      <c r="Q181" s="8">
        <v>200.0</v>
      </c>
      <c r="R181" s="10">
        <v>54.0</v>
      </c>
      <c r="S181" s="9">
        <v>0.7368</v>
      </c>
      <c r="T181" s="11">
        <v>6.24</v>
      </c>
    </row>
    <row r="182">
      <c r="A182" s="1" t="s">
        <v>386</v>
      </c>
      <c r="B182" s="1" t="s">
        <v>387</v>
      </c>
      <c r="C182" s="1" t="s">
        <v>32</v>
      </c>
      <c r="D182" s="6">
        <v>45812.0</v>
      </c>
      <c r="E182" s="6">
        <v>45871.0</v>
      </c>
      <c r="F182" s="8">
        <v>41.0</v>
      </c>
      <c r="G182" s="8">
        <v>26.0</v>
      </c>
      <c r="H182" s="8">
        <v>3.1</v>
      </c>
      <c r="I182" s="9">
        <v>0.8879</v>
      </c>
      <c r="J182" s="8">
        <v>5.6</v>
      </c>
      <c r="K182" s="8">
        <v>4.8</v>
      </c>
      <c r="L182" s="4" t="s">
        <v>33</v>
      </c>
      <c r="M182" s="8">
        <v>2.0</v>
      </c>
      <c r="N182" s="8">
        <v>2.0</v>
      </c>
      <c r="O182" s="8">
        <v>19.0</v>
      </c>
      <c r="P182" s="9">
        <v>0.5092</v>
      </c>
      <c r="Q182" s="8">
        <v>178.0</v>
      </c>
      <c r="R182" s="10">
        <v>59.0</v>
      </c>
      <c r="S182" s="9">
        <v>0.6341</v>
      </c>
      <c r="T182" s="11">
        <v>10.0</v>
      </c>
    </row>
    <row r="183">
      <c r="A183" s="1" t="s">
        <v>388</v>
      </c>
      <c r="B183" s="1" t="s">
        <v>389</v>
      </c>
      <c r="C183" s="1" t="s">
        <v>28</v>
      </c>
      <c r="D183" s="7">
        <v>45825.0</v>
      </c>
      <c r="E183" s="7">
        <v>45885.0</v>
      </c>
      <c r="F183" s="8">
        <v>43.0</v>
      </c>
      <c r="G183" s="8">
        <v>36.0</v>
      </c>
      <c r="H183" s="8">
        <v>1.5</v>
      </c>
      <c r="I183" s="9">
        <v>0.9101</v>
      </c>
      <c r="J183" s="8">
        <v>7.0</v>
      </c>
      <c r="K183" s="8">
        <v>6.4</v>
      </c>
      <c r="L183" s="4" t="s">
        <v>29</v>
      </c>
      <c r="M183" s="8">
        <v>5.0</v>
      </c>
      <c r="N183" s="8">
        <v>1.0</v>
      </c>
      <c r="O183" s="8">
        <v>37.0</v>
      </c>
      <c r="P183" s="9">
        <v>0.7561</v>
      </c>
      <c r="Q183" s="8">
        <v>145.0</v>
      </c>
      <c r="R183" s="10">
        <v>60.0</v>
      </c>
      <c r="S183" s="9">
        <v>0.8372</v>
      </c>
      <c r="T183" s="11">
        <v>10.0</v>
      </c>
    </row>
    <row r="184">
      <c r="A184" s="1" t="s">
        <v>390</v>
      </c>
      <c r="B184" s="1" t="s">
        <v>391</v>
      </c>
      <c r="C184" s="1" t="s">
        <v>22</v>
      </c>
      <c r="D184" s="6">
        <v>45817.0</v>
      </c>
      <c r="E184" s="7">
        <v>45865.0</v>
      </c>
      <c r="F184" s="8">
        <v>15.0</v>
      </c>
      <c r="G184" s="8">
        <v>12.0</v>
      </c>
      <c r="H184" s="8">
        <v>3.8</v>
      </c>
      <c r="I184" s="9">
        <v>0.886</v>
      </c>
      <c r="J184" s="8">
        <v>7.7</v>
      </c>
      <c r="K184" s="8">
        <v>7.5</v>
      </c>
      <c r="L184" s="4" t="s">
        <v>23</v>
      </c>
      <c r="M184" s="8">
        <v>2.0</v>
      </c>
      <c r="N184" s="8">
        <v>2.0</v>
      </c>
      <c r="O184" s="8">
        <v>35.0</v>
      </c>
      <c r="P184" s="9">
        <v>0.7311</v>
      </c>
      <c r="Q184" s="8">
        <v>153.0</v>
      </c>
      <c r="R184" s="10">
        <v>48.0</v>
      </c>
      <c r="S184" s="9">
        <v>0.8</v>
      </c>
      <c r="T184" s="11">
        <v>10.0</v>
      </c>
    </row>
    <row r="185">
      <c r="A185" s="1" t="s">
        <v>392</v>
      </c>
      <c r="B185" s="1" t="s">
        <v>393</v>
      </c>
      <c r="C185" s="1" t="s">
        <v>22</v>
      </c>
      <c r="D185" s="7">
        <v>45836.0</v>
      </c>
      <c r="E185" s="7">
        <v>45898.0</v>
      </c>
      <c r="F185" s="8">
        <v>15.0</v>
      </c>
      <c r="G185" s="8">
        <v>9.0</v>
      </c>
      <c r="H185" s="8">
        <v>1.8</v>
      </c>
      <c r="I185" s="9">
        <v>0.7253</v>
      </c>
      <c r="J185" s="8">
        <v>6.5</v>
      </c>
      <c r="K185" s="8">
        <v>6.5</v>
      </c>
      <c r="L185" s="4" t="s">
        <v>23</v>
      </c>
      <c r="M185" s="8">
        <v>2.0</v>
      </c>
      <c r="N185" s="8">
        <v>2.0</v>
      </c>
      <c r="O185" s="8">
        <v>33.0</v>
      </c>
      <c r="P185" s="9">
        <v>0.7491</v>
      </c>
      <c r="Q185" s="8">
        <v>174.0</v>
      </c>
      <c r="R185" s="10">
        <v>62.0</v>
      </c>
      <c r="S185" s="9">
        <v>0.6</v>
      </c>
      <c r="T185" s="11">
        <v>10.0</v>
      </c>
    </row>
    <row r="186">
      <c r="A186" s="1" t="s">
        <v>394</v>
      </c>
      <c r="B186" s="1" t="s">
        <v>395</v>
      </c>
      <c r="C186" s="1" t="s">
        <v>22</v>
      </c>
      <c r="D186" s="7">
        <v>45818.0</v>
      </c>
      <c r="E186" s="7">
        <v>45884.0</v>
      </c>
      <c r="F186" s="8">
        <v>26.0</v>
      </c>
      <c r="G186" s="8">
        <v>13.0</v>
      </c>
      <c r="H186" s="8">
        <v>3.4</v>
      </c>
      <c r="I186" s="9">
        <v>0.6017</v>
      </c>
      <c r="J186" s="8">
        <v>6.4</v>
      </c>
      <c r="K186" s="8">
        <v>8.0</v>
      </c>
      <c r="L186" s="4" t="s">
        <v>23</v>
      </c>
      <c r="M186" s="8">
        <v>1.0</v>
      </c>
      <c r="N186" s="8">
        <v>3.0</v>
      </c>
      <c r="O186" s="8">
        <v>50.0</v>
      </c>
      <c r="P186" s="9">
        <v>0.6195</v>
      </c>
      <c r="Q186" s="8">
        <v>167.0</v>
      </c>
      <c r="R186" s="10">
        <v>66.0</v>
      </c>
      <c r="S186" s="9">
        <v>0.5</v>
      </c>
      <c r="T186" s="11">
        <v>7.35</v>
      </c>
    </row>
    <row r="187">
      <c r="A187" s="1" t="s">
        <v>396</v>
      </c>
      <c r="B187" s="1" t="s">
        <v>397</v>
      </c>
      <c r="C187" s="1" t="s">
        <v>22</v>
      </c>
      <c r="D187" s="6">
        <v>45817.0</v>
      </c>
      <c r="E187" s="7">
        <v>45855.0</v>
      </c>
      <c r="F187" s="8">
        <v>23.0</v>
      </c>
      <c r="G187" s="8">
        <v>15.0</v>
      </c>
      <c r="H187" s="8">
        <v>6.0</v>
      </c>
      <c r="I187" s="9">
        <v>0.754</v>
      </c>
      <c r="J187" s="8">
        <v>7.5</v>
      </c>
      <c r="K187" s="8">
        <v>8.6</v>
      </c>
      <c r="L187" s="4" t="s">
        <v>23</v>
      </c>
      <c r="M187" s="8">
        <v>2.0</v>
      </c>
      <c r="N187" s="8">
        <v>1.0</v>
      </c>
      <c r="O187" s="8">
        <v>38.0</v>
      </c>
      <c r="P187" s="9">
        <v>0.7189</v>
      </c>
      <c r="Q187" s="8">
        <v>194.0</v>
      </c>
      <c r="R187" s="10">
        <v>38.0</v>
      </c>
      <c r="S187" s="9">
        <v>0.6522</v>
      </c>
      <c r="T187" s="11">
        <v>5.43</v>
      </c>
    </row>
    <row r="188">
      <c r="A188" s="1" t="s">
        <v>398</v>
      </c>
      <c r="B188" s="1" t="s">
        <v>399</v>
      </c>
      <c r="C188" s="1" t="s">
        <v>22</v>
      </c>
      <c r="D188" s="7">
        <v>45836.0</v>
      </c>
      <c r="E188" s="7">
        <v>45886.0</v>
      </c>
      <c r="F188" s="8">
        <v>18.0</v>
      </c>
      <c r="G188" s="8">
        <v>14.0</v>
      </c>
      <c r="H188" s="8">
        <v>7.6</v>
      </c>
      <c r="I188" s="9">
        <v>0.8922</v>
      </c>
      <c r="J188" s="8">
        <v>7.4</v>
      </c>
      <c r="K188" s="8">
        <v>8.2</v>
      </c>
      <c r="L188" s="4" t="s">
        <v>23</v>
      </c>
      <c r="M188" s="8">
        <v>2.0</v>
      </c>
      <c r="N188" s="8">
        <v>2.0</v>
      </c>
      <c r="O188" s="8">
        <v>30.0</v>
      </c>
      <c r="P188" s="9">
        <v>0.6716</v>
      </c>
      <c r="Q188" s="8">
        <v>173.0</v>
      </c>
      <c r="R188" s="10">
        <v>50.0</v>
      </c>
      <c r="S188" s="9">
        <v>0.7778</v>
      </c>
      <c r="T188" s="11">
        <v>5.12</v>
      </c>
    </row>
    <row r="189">
      <c r="A189" s="1" t="s">
        <v>400</v>
      </c>
      <c r="B189" s="1" t="s">
        <v>401</v>
      </c>
      <c r="C189" s="1" t="s">
        <v>22</v>
      </c>
      <c r="D189" s="7">
        <v>45822.0</v>
      </c>
      <c r="E189" s="7">
        <v>45861.0</v>
      </c>
      <c r="F189" s="8">
        <v>44.0</v>
      </c>
      <c r="G189" s="8">
        <v>36.0</v>
      </c>
      <c r="H189" s="8">
        <v>8.0</v>
      </c>
      <c r="I189" s="9">
        <v>0.8317</v>
      </c>
      <c r="J189" s="8">
        <v>9.5</v>
      </c>
      <c r="K189" s="8">
        <v>8.9</v>
      </c>
      <c r="L189" s="4" t="s">
        <v>23</v>
      </c>
      <c r="M189" s="8">
        <v>4.0</v>
      </c>
      <c r="N189" s="8">
        <v>0.0</v>
      </c>
      <c r="O189" s="8">
        <v>50.0</v>
      </c>
      <c r="P189" s="9">
        <v>0.9551</v>
      </c>
      <c r="Q189" s="8">
        <v>156.0</v>
      </c>
      <c r="R189" s="10">
        <v>39.0</v>
      </c>
      <c r="S189" s="9">
        <v>0.8182</v>
      </c>
      <c r="T189" s="11">
        <v>5.11</v>
      </c>
    </row>
    <row r="190">
      <c r="A190" s="1" t="s">
        <v>402</v>
      </c>
      <c r="B190" s="1" t="s">
        <v>403</v>
      </c>
      <c r="C190" s="1" t="s">
        <v>22</v>
      </c>
      <c r="D190" s="6">
        <v>45812.0</v>
      </c>
      <c r="E190" s="7">
        <v>45866.0</v>
      </c>
      <c r="F190" s="8">
        <v>45.0</v>
      </c>
      <c r="G190" s="8">
        <v>39.0</v>
      </c>
      <c r="H190" s="8">
        <v>9.2</v>
      </c>
      <c r="I190" s="9">
        <v>0.9644</v>
      </c>
      <c r="J190" s="8">
        <v>9.6</v>
      </c>
      <c r="K190" s="8">
        <v>10.0</v>
      </c>
      <c r="L190" s="4" t="s">
        <v>23</v>
      </c>
      <c r="M190" s="8">
        <v>5.0</v>
      </c>
      <c r="N190" s="8">
        <v>0.0</v>
      </c>
      <c r="O190" s="8">
        <v>31.0</v>
      </c>
      <c r="P190" s="9">
        <v>0.9126</v>
      </c>
      <c r="Q190" s="8">
        <v>179.0</v>
      </c>
      <c r="R190" s="10">
        <v>54.0</v>
      </c>
      <c r="S190" s="9">
        <v>0.8667</v>
      </c>
      <c r="T190" s="11">
        <v>4.71</v>
      </c>
    </row>
    <row r="191">
      <c r="A191" s="1" t="s">
        <v>404</v>
      </c>
      <c r="B191" s="1" t="s">
        <v>405</v>
      </c>
      <c r="C191" s="1" t="s">
        <v>22</v>
      </c>
      <c r="D191" s="7">
        <v>45835.0</v>
      </c>
      <c r="E191" s="6">
        <v>45906.0</v>
      </c>
      <c r="F191" s="8">
        <v>37.0</v>
      </c>
      <c r="G191" s="8">
        <v>25.0</v>
      </c>
      <c r="H191" s="8">
        <v>2.2</v>
      </c>
      <c r="I191" s="9">
        <v>0.7591</v>
      </c>
      <c r="J191" s="8">
        <v>6.8</v>
      </c>
      <c r="K191" s="8">
        <v>7.0</v>
      </c>
      <c r="L191" s="4" t="s">
        <v>23</v>
      </c>
      <c r="M191" s="8">
        <v>4.0</v>
      </c>
      <c r="N191" s="8">
        <v>0.0</v>
      </c>
      <c r="O191" s="8">
        <v>30.0</v>
      </c>
      <c r="P191" s="9">
        <v>0.7349</v>
      </c>
      <c r="Q191" s="8">
        <v>153.0</v>
      </c>
      <c r="R191" s="10">
        <v>71.0</v>
      </c>
      <c r="S191" s="9">
        <v>0.6757</v>
      </c>
      <c r="T191" s="11">
        <v>10.0</v>
      </c>
    </row>
    <row r="192">
      <c r="A192" s="1" t="s">
        <v>406</v>
      </c>
      <c r="B192" s="1" t="s">
        <v>407</v>
      </c>
      <c r="C192" s="1" t="s">
        <v>22</v>
      </c>
      <c r="D192" s="6">
        <v>45812.0</v>
      </c>
      <c r="E192" s="7">
        <v>45848.0</v>
      </c>
      <c r="F192" s="8">
        <v>34.0</v>
      </c>
      <c r="G192" s="8">
        <v>21.0</v>
      </c>
      <c r="H192" s="8">
        <v>4.1</v>
      </c>
      <c r="I192" s="9">
        <v>0.6727</v>
      </c>
      <c r="J192" s="8">
        <v>7.6</v>
      </c>
      <c r="K192" s="8">
        <v>8.3</v>
      </c>
      <c r="L192" s="4" t="s">
        <v>23</v>
      </c>
      <c r="M192" s="8">
        <v>4.0</v>
      </c>
      <c r="N192" s="8">
        <v>0.0</v>
      </c>
      <c r="O192" s="8">
        <v>36.0</v>
      </c>
      <c r="P192" s="9">
        <v>0.6924</v>
      </c>
      <c r="Q192" s="8">
        <v>170.0</v>
      </c>
      <c r="R192" s="10">
        <v>36.0</v>
      </c>
      <c r="S192" s="9">
        <v>0.6176</v>
      </c>
      <c r="T192" s="11">
        <v>7.53</v>
      </c>
    </row>
    <row r="193">
      <c r="A193" s="1" t="s">
        <v>408</v>
      </c>
      <c r="B193" s="1" t="s">
        <v>409</v>
      </c>
      <c r="C193" s="1" t="s">
        <v>32</v>
      </c>
      <c r="D193" s="7">
        <v>45831.0</v>
      </c>
      <c r="E193" s="7">
        <v>45920.0</v>
      </c>
      <c r="F193" s="8">
        <v>13.0</v>
      </c>
      <c r="G193" s="8">
        <v>6.0</v>
      </c>
      <c r="H193" s="8">
        <v>9.4</v>
      </c>
      <c r="I193" s="9">
        <v>0.6094</v>
      </c>
      <c r="J193" s="8">
        <v>2.7</v>
      </c>
      <c r="K193" s="8">
        <v>2.3</v>
      </c>
      <c r="L193" s="4" t="s">
        <v>33</v>
      </c>
      <c r="M193" s="8">
        <v>1.0</v>
      </c>
      <c r="N193" s="8">
        <v>3.0</v>
      </c>
      <c r="O193" s="8">
        <v>20.0</v>
      </c>
      <c r="P193" s="9">
        <v>0.3904</v>
      </c>
      <c r="Q193" s="8">
        <v>123.0</v>
      </c>
      <c r="R193" s="10">
        <v>89.0</v>
      </c>
      <c r="S193" s="9">
        <v>0.4615</v>
      </c>
      <c r="T193" s="11">
        <v>2.45</v>
      </c>
    </row>
    <row r="194">
      <c r="A194" s="1" t="s">
        <v>410</v>
      </c>
      <c r="B194" s="1" t="s">
        <v>411</v>
      </c>
      <c r="C194" s="1" t="s">
        <v>32</v>
      </c>
      <c r="D194" s="7">
        <v>45835.0</v>
      </c>
      <c r="E194" s="6">
        <v>45874.0</v>
      </c>
      <c r="F194" s="8">
        <v>31.0</v>
      </c>
      <c r="G194" s="8">
        <v>23.0</v>
      </c>
      <c r="H194" s="8">
        <v>2.8</v>
      </c>
      <c r="I194" s="9">
        <v>0.9831</v>
      </c>
      <c r="J194" s="8">
        <v>4.8</v>
      </c>
      <c r="K194" s="8">
        <v>5.0</v>
      </c>
      <c r="L194" s="4" t="s">
        <v>33</v>
      </c>
      <c r="M194" s="8">
        <v>2.0</v>
      </c>
      <c r="N194" s="8">
        <v>4.0</v>
      </c>
      <c r="O194" s="8">
        <v>18.0</v>
      </c>
      <c r="P194" s="9">
        <v>0.4303</v>
      </c>
      <c r="Q194" s="8">
        <v>130.0</v>
      </c>
      <c r="R194" s="10">
        <v>39.0</v>
      </c>
      <c r="S194" s="9">
        <v>0.7419</v>
      </c>
      <c r="T194" s="11">
        <v>10.0</v>
      </c>
    </row>
    <row r="195">
      <c r="A195" s="1" t="s">
        <v>412</v>
      </c>
      <c r="B195" s="1" t="s">
        <v>413</v>
      </c>
      <c r="C195" s="1" t="s">
        <v>32</v>
      </c>
      <c r="D195" s="7">
        <v>45826.0</v>
      </c>
      <c r="E195" s="6">
        <v>45904.0</v>
      </c>
      <c r="F195" s="8">
        <v>47.0</v>
      </c>
      <c r="G195" s="8">
        <v>39.0</v>
      </c>
      <c r="H195" s="8">
        <v>9.0</v>
      </c>
      <c r="I195" s="9">
        <v>0.9927</v>
      </c>
      <c r="J195" s="8">
        <v>4.6</v>
      </c>
      <c r="K195" s="8">
        <v>4.4</v>
      </c>
      <c r="L195" s="4" t="s">
        <v>33</v>
      </c>
      <c r="M195" s="8">
        <v>4.0</v>
      </c>
      <c r="N195" s="8">
        <v>3.0</v>
      </c>
      <c r="O195" s="8">
        <v>17.0</v>
      </c>
      <c r="P195" s="9">
        <v>0.4676</v>
      </c>
      <c r="Q195" s="8">
        <v>171.0</v>
      </c>
      <c r="R195" s="10">
        <v>78.0</v>
      </c>
      <c r="S195" s="9">
        <v>0.8298</v>
      </c>
      <c r="T195" s="11">
        <v>4.61</v>
      </c>
    </row>
    <row r="196">
      <c r="A196" s="1" t="s">
        <v>414</v>
      </c>
      <c r="B196" s="1" t="s">
        <v>415</v>
      </c>
      <c r="C196" s="1" t="s">
        <v>28</v>
      </c>
      <c r="D196" s="7">
        <v>45821.0</v>
      </c>
      <c r="E196" s="7">
        <v>45896.0</v>
      </c>
      <c r="F196" s="8">
        <v>30.0</v>
      </c>
      <c r="G196" s="8">
        <v>18.0</v>
      </c>
      <c r="H196" s="8">
        <v>9.4</v>
      </c>
      <c r="I196" s="9">
        <v>0.6921</v>
      </c>
      <c r="J196" s="8">
        <v>4.5</v>
      </c>
      <c r="K196" s="8">
        <v>4.7</v>
      </c>
      <c r="L196" s="4" t="s">
        <v>29</v>
      </c>
      <c r="M196" s="8">
        <v>3.0</v>
      </c>
      <c r="N196" s="8">
        <v>2.0</v>
      </c>
      <c r="O196" s="8">
        <v>20.0</v>
      </c>
      <c r="P196" s="9">
        <v>0.5284</v>
      </c>
      <c r="Q196" s="8">
        <v>122.0</v>
      </c>
      <c r="R196" s="10">
        <v>75.0</v>
      </c>
      <c r="S196" s="9">
        <v>0.6</v>
      </c>
      <c r="T196" s="11">
        <v>3.19</v>
      </c>
    </row>
    <row r="197">
      <c r="A197" s="1" t="s">
        <v>416</v>
      </c>
      <c r="B197" s="1" t="s">
        <v>417</v>
      </c>
      <c r="C197" s="1" t="s">
        <v>32</v>
      </c>
      <c r="D197" s="7">
        <v>45824.0</v>
      </c>
      <c r="E197" s="7">
        <v>45913.0</v>
      </c>
      <c r="F197" s="8">
        <v>42.0</v>
      </c>
      <c r="G197" s="8">
        <v>21.0</v>
      </c>
      <c r="H197" s="8">
        <v>6.9</v>
      </c>
      <c r="I197" s="9">
        <v>0.6663</v>
      </c>
      <c r="J197" s="8">
        <v>3.4</v>
      </c>
      <c r="K197" s="8">
        <v>3.6</v>
      </c>
      <c r="L197" s="4" t="s">
        <v>33</v>
      </c>
      <c r="M197" s="8">
        <v>4.0</v>
      </c>
      <c r="N197" s="8">
        <v>1.0</v>
      </c>
      <c r="O197" s="8">
        <v>17.0</v>
      </c>
      <c r="P197" s="9">
        <v>0.2991</v>
      </c>
      <c r="Q197" s="8">
        <v>181.0</v>
      </c>
      <c r="R197" s="10">
        <v>89.0</v>
      </c>
      <c r="S197" s="9">
        <v>0.5</v>
      </c>
      <c r="T197" s="11">
        <v>3.62</v>
      </c>
    </row>
    <row r="198">
      <c r="A198" s="1" t="s">
        <v>418</v>
      </c>
      <c r="B198" s="1" t="s">
        <v>419</v>
      </c>
      <c r="C198" s="1" t="s">
        <v>22</v>
      </c>
      <c r="D198" s="6">
        <v>45816.0</v>
      </c>
      <c r="E198" s="7">
        <v>45900.0</v>
      </c>
      <c r="F198" s="8">
        <v>47.0</v>
      </c>
      <c r="G198" s="8">
        <v>34.0</v>
      </c>
      <c r="H198" s="8">
        <v>2.7</v>
      </c>
      <c r="I198" s="9">
        <v>0.8278</v>
      </c>
      <c r="J198" s="8">
        <v>7.9</v>
      </c>
      <c r="K198" s="8">
        <v>8.2</v>
      </c>
      <c r="L198" s="4" t="s">
        <v>23</v>
      </c>
      <c r="M198" s="8">
        <v>3.0</v>
      </c>
      <c r="N198" s="8">
        <v>2.0</v>
      </c>
      <c r="O198" s="8">
        <v>40.0</v>
      </c>
      <c r="P198" s="9">
        <v>0.791</v>
      </c>
      <c r="Q198" s="8">
        <v>127.0</v>
      </c>
      <c r="R198" s="10">
        <v>84.0</v>
      </c>
      <c r="S198" s="9">
        <v>0.7234</v>
      </c>
      <c r="T198" s="11">
        <v>10.0</v>
      </c>
    </row>
    <row r="199">
      <c r="A199" s="1" t="s">
        <v>420</v>
      </c>
      <c r="B199" s="1" t="s">
        <v>421</v>
      </c>
      <c r="C199" s="1" t="s">
        <v>28</v>
      </c>
      <c r="D199" s="7">
        <v>45819.0</v>
      </c>
      <c r="E199" s="7">
        <v>45890.0</v>
      </c>
      <c r="F199" s="8">
        <v>29.0</v>
      </c>
      <c r="G199" s="8">
        <v>25.0</v>
      </c>
      <c r="H199" s="8">
        <v>5.5</v>
      </c>
      <c r="I199" s="9">
        <v>0.9092</v>
      </c>
      <c r="J199" s="8">
        <v>6.7</v>
      </c>
      <c r="K199" s="8">
        <v>7.1</v>
      </c>
      <c r="L199" s="4" t="s">
        <v>29</v>
      </c>
      <c r="M199" s="8">
        <v>2.0</v>
      </c>
      <c r="N199" s="8">
        <v>2.0</v>
      </c>
      <c r="O199" s="8">
        <v>23.0</v>
      </c>
      <c r="P199" s="9">
        <v>0.6596</v>
      </c>
      <c r="Q199" s="8">
        <v>161.0</v>
      </c>
      <c r="R199" s="10">
        <v>71.0</v>
      </c>
      <c r="S199" s="9">
        <v>0.8621</v>
      </c>
      <c r="T199" s="11">
        <v>7.84</v>
      </c>
    </row>
    <row r="200">
      <c r="A200" s="1" t="s">
        <v>422</v>
      </c>
      <c r="B200" s="1" t="s">
        <v>423</v>
      </c>
      <c r="C200" s="1" t="s">
        <v>22</v>
      </c>
      <c r="D200" s="7">
        <v>45831.0</v>
      </c>
      <c r="E200" s="7">
        <v>45916.0</v>
      </c>
      <c r="F200" s="8">
        <v>36.0</v>
      </c>
      <c r="G200" s="8">
        <v>22.0</v>
      </c>
      <c r="H200" s="8">
        <v>7.0</v>
      </c>
      <c r="I200" s="9">
        <v>0.7287</v>
      </c>
      <c r="J200" s="8">
        <v>6.2</v>
      </c>
      <c r="K200" s="8">
        <v>5.9</v>
      </c>
      <c r="L200" s="4" t="s">
        <v>23</v>
      </c>
      <c r="M200" s="8">
        <v>4.0</v>
      </c>
      <c r="N200" s="8">
        <v>2.0</v>
      </c>
      <c r="O200" s="8">
        <v>31.0</v>
      </c>
      <c r="P200" s="9">
        <v>0.5876</v>
      </c>
      <c r="Q200" s="8">
        <v>153.0</v>
      </c>
      <c r="R200" s="10">
        <v>85.0</v>
      </c>
      <c r="S200" s="9">
        <v>0.6111</v>
      </c>
      <c r="T200" s="11">
        <v>4.37</v>
      </c>
    </row>
    <row r="201">
      <c r="A201" s="1" t="s">
        <v>424</v>
      </c>
      <c r="B201" s="1" t="s">
        <v>425</v>
      </c>
      <c r="C201" s="1" t="s">
        <v>28</v>
      </c>
      <c r="D201" s="6">
        <v>45812.0</v>
      </c>
      <c r="E201" s="7">
        <v>45859.0</v>
      </c>
      <c r="F201" s="8">
        <v>44.0</v>
      </c>
      <c r="G201" s="8">
        <v>38.0</v>
      </c>
      <c r="H201" s="8">
        <v>3.5</v>
      </c>
      <c r="I201" s="9">
        <v>0.9973</v>
      </c>
      <c r="J201" s="8">
        <v>6.9</v>
      </c>
      <c r="K201" s="8">
        <v>7.8</v>
      </c>
      <c r="L201" s="4" t="s">
        <v>29</v>
      </c>
      <c r="M201" s="8">
        <v>4.0</v>
      </c>
      <c r="N201" s="8">
        <v>2.0</v>
      </c>
      <c r="O201" s="8">
        <v>26.0</v>
      </c>
      <c r="P201" s="9">
        <v>0.5942</v>
      </c>
      <c r="Q201" s="8">
        <v>120.0</v>
      </c>
      <c r="R201" s="10">
        <v>47.0</v>
      </c>
      <c r="S201" s="9">
        <v>0.8636</v>
      </c>
      <c r="T201" s="11">
        <v>10.0</v>
      </c>
    </row>
    <row r="202">
      <c r="A202" s="1" t="s">
        <v>426</v>
      </c>
      <c r="B202" s="1" t="s">
        <v>427</v>
      </c>
      <c r="C202" s="1" t="s">
        <v>22</v>
      </c>
      <c r="D202" s="7">
        <v>45837.0</v>
      </c>
      <c r="E202" s="6">
        <v>45907.0</v>
      </c>
      <c r="F202" s="8">
        <v>20.0</v>
      </c>
      <c r="G202" s="8">
        <v>11.0</v>
      </c>
      <c r="H202" s="8">
        <v>9.6</v>
      </c>
      <c r="I202" s="9">
        <v>0.6766</v>
      </c>
      <c r="J202" s="8">
        <v>7.2</v>
      </c>
      <c r="K202" s="8">
        <v>7.5</v>
      </c>
      <c r="L202" s="4" t="s">
        <v>23</v>
      </c>
      <c r="M202" s="8">
        <v>1.0</v>
      </c>
      <c r="N202" s="8">
        <v>1.0</v>
      </c>
      <c r="O202" s="8">
        <v>42.0</v>
      </c>
      <c r="P202" s="9">
        <v>0.6768</v>
      </c>
      <c r="Q202" s="8">
        <v>130.0</v>
      </c>
      <c r="R202" s="10">
        <v>70.0</v>
      </c>
      <c r="S202" s="9">
        <v>0.55</v>
      </c>
      <c r="T202" s="11">
        <v>2.86</v>
      </c>
    </row>
    <row r="203">
      <c r="A203" s="1" t="s">
        <v>428</v>
      </c>
      <c r="B203" s="1" t="s">
        <v>429</v>
      </c>
      <c r="C203" s="1" t="s">
        <v>32</v>
      </c>
      <c r="D203" s="6">
        <v>45817.0</v>
      </c>
      <c r="E203" s="7">
        <v>45854.0</v>
      </c>
      <c r="F203" s="8">
        <v>16.0</v>
      </c>
      <c r="G203" s="8">
        <v>10.0</v>
      </c>
      <c r="H203" s="8">
        <v>7.9</v>
      </c>
      <c r="I203" s="9">
        <v>0.8253</v>
      </c>
      <c r="J203" s="8">
        <v>5.4</v>
      </c>
      <c r="K203" s="8">
        <v>4.4</v>
      </c>
      <c r="L203" s="4" t="s">
        <v>33</v>
      </c>
      <c r="M203" s="8">
        <v>2.0</v>
      </c>
      <c r="N203" s="8">
        <v>3.0</v>
      </c>
      <c r="O203" s="8">
        <v>30.0</v>
      </c>
      <c r="P203" s="9">
        <v>0.5507</v>
      </c>
      <c r="Q203" s="8">
        <v>165.0</v>
      </c>
      <c r="R203" s="10">
        <v>37.0</v>
      </c>
      <c r="S203" s="9">
        <v>0.625</v>
      </c>
      <c r="T203" s="11">
        <v>3.96</v>
      </c>
    </row>
    <row r="204">
      <c r="A204" s="1" t="s">
        <v>430</v>
      </c>
      <c r="B204" s="1" t="s">
        <v>431</v>
      </c>
      <c r="C204" s="1" t="s">
        <v>28</v>
      </c>
      <c r="D204" s="7">
        <v>45831.0</v>
      </c>
      <c r="E204" s="6">
        <v>45909.0</v>
      </c>
      <c r="F204" s="8">
        <v>33.0</v>
      </c>
      <c r="G204" s="8">
        <v>20.0</v>
      </c>
      <c r="H204" s="8">
        <v>4.2</v>
      </c>
      <c r="I204" s="9">
        <v>0.6828</v>
      </c>
      <c r="J204" s="8">
        <v>4.8</v>
      </c>
      <c r="K204" s="8">
        <v>4.8</v>
      </c>
      <c r="L204" s="4" t="s">
        <v>29</v>
      </c>
      <c r="M204" s="8">
        <v>1.0</v>
      </c>
      <c r="N204" s="8">
        <v>2.0</v>
      </c>
      <c r="O204" s="8">
        <v>23.0</v>
      </c>
      <c r="P204" s="9">
        <v>0.5455</v>
      </c>
      <c r="Q204" s="8">
        <v>142.0</v>
      </c>
      <c r="R204" s="10">
        <v>78.0</v>
      </c>
      <c r="S204" s="9">
        <v>0.6061</v>
      </c>
      <c r="T204" s="11">
        <v>7.22</v>
      </c>
    </row>
    <row r="205">
      <c r="A205" s="1" t="s">
        <v>432</v>
      </c>
      <c r="B205" s="1" t="s">
        <v>433</v>
      </c>
      <c r="C205" s="1" t="s">
        <v>32</v>
      </c>
      <c r="D205" s="6">
        <v>45817.0</v>
      </c>
      <c r="E205" s="7">
        <v>45893.0</v>
      </c>
      <c r="F205" s="8">
        <v>15.0</v>
      </c>
      <c r="G205" s="8">
        <v>12.0</v>
      </c>
      <c r="H205" s="8">
        <v>3.7</v>
      </c>
      <c r="I205" s="9">
        <v>0.9724</v>
      </c>
      <c r="J205" s="8">
        <v>6.1</v>
      </c>
      <c r="K205" s="8">
        <v>6.6</v>
      </c>
      <c r="L205" s="4" t="s">
        <v>33</v>
      </c>
      <c r="M205" s="8">
        <v>1.0</v>
      </c>
      <c r="N205" s="8">
        <v>1.0</v>
      </c>
      <c r="O205" s="8">
        <v>30.0</v>
      </c>
      <c r="P205" s="9">
        <v>0.5526</v>
      </c>
      <c r="Q205" s="8">
        <v>132.0</v>
      </c>
      <c r="R205" s="10">
        <v>76.0</v>
      </c>
      <c r="S205" s="9">
        <v>0.8</v>
      </c>
      <c r="T205" s="11">
        <v>10.0</v>
      </c>
    </row>
    <row r="206">
      <c r="A206" s="1" t="s">
        <v>434</v>
      </c>
      <c r="B206" s="1" t="s">
        <v>435</v>
      </c>
      <c r="C206" s="1" t="s">
        <v>22</v>
      </c>
      <c r="D206" s="7">
        <v>45829.0</v>
      </c>
      <c r="E206" s="7">
        <v>45880.0</v>
      </c>
      <c r="F206" s="8">
        <v>23.0</v>
      </c>
      <c r="G206" s="8">
        <v>15.0</v>
      </c>
      <c r="H206" s="8">
        <v>10.0</v>
      </c>
      <c r="I206" s="9">
        <v>0.7691</v>
      </c>
      <c r="J206" s="8">
        <v>7.4</v>
      </c>
      <c r="K206" s="8">
        <v>6.4</v>
      </c>
      <c r="L206" s="4" t="s">
        <v>23</v>
      </c>
      <c r="M206" s="8">
        <v>2.0</v>
      </c>
      <c r="N206" s="8">
        <v>2.0</v>
      </c>
      <c r="O206" s="8">
        <v>47.0</v>
      </c>
      <c r="P206" s="9">
        <v>0.7168</v>
      </c>
      <c r="Q206" s="8">
        <v>140.0</v>
      </c>
      <c r="R206" s="10">
        <v>51.0</v>
      </c>
      <c r="S206" s="9">
        <v>0.6522</v>
      </c>
      <c r="T206" s="11">
        <v>3.26</v>
      </c>
    </row>
    <row r="207">
      <c r="A207" s="1" t="s">
        <v>436</v>
      </c>
      <c r="B207" s="1" t="s">
        <v>437</v>
      </c>
      <c r="C207" s="1" t="s">
        <v>32</v>
      </c>
      <c r="D207" s="7">
        <v>45828.0</v>
      </c>
      <c r="E207" s="6">
        <v>45905.0</v>
      </c>
      <c r="F207" s="8">
        <v>19.0</v>
      </c>
      <c r="G207" s="8">
        <v>9.0</v>
      </c>
      <c r="H207" s="8">
        <v>6.7</v>
      </c>
      <c r="I207" s="9">
        <v>0.6598</v>
      </c>
      <c r="J207" s="8">
        <v>3.6</v>
      </c>
      <c r="K207" s="8">
        <v>2.0</v>
      </c>
      <c r="L207" s="4" t="s">
        <v>33</v>
      </c>
      <c r="M207" s="8">
        <v>2.0</v>
      </c>
      <c r="N207" s="8">
        <v>1.0</v>
      </c>
      <c r="O207" s="8">
        <v>25.0</v>
      </c>
      <c r="P207" s="9">
        <v>0.3453</v>
      </c>
      <c r="Q207" s="8">
        <v>144.0</v>
      </c>
      <c r="R207" s="10">
        <v>77.0</v>
      </c>
      <c r="S207" s="9">
        <v>0.4737</v>
      </c>
      <c r="T207" s="11">
        <v>3.53</v>
      </c>
    </row>
    <row r="208">
      <c r="A208" s="1" t="s">
        <v>438</v>
      </c>
      <c r="B208" s="1" t="s">
        <v>439</v>
      </c>
      <c r="C208" s="1" t="s">
        <v>32</v>
      </c>
      <c r="D208" s="6">
        <v>45815.0</v>
      </c>
      <c r="E208" s="6">
        <v>45902.0</v>
      </c>
      <c r="F208" s="8">
        <v>45.0</v>
      </c>
      <c r="G208" s="8">
        <v>25.0</v>
      </c>
      <c r="H208" s="8">
        <v>2.4</v>
      </c>
      <c r="I208" s="9">
        <v>0.652</v>
      </c>
      <c r="J208" s="8">
        <v>3.0</v>
      </c>
      <c r="K208" s="8">
        <v>2.8</v>
      </c>
      <c r="L208" s="4" t="s">
        <v>33</v>
      </c>
      <c r="M208" s="8">
        <v>2.0</v>
      </c>
      <c r="N208" s="8">
        <v>2.0</v>
      </c>
      <c r="O208" s="8">
        <v>14.0</v>
      </c>
      <c r="P208" s="9">
        <v>0.311</v>
      </c>
      <c r="Q208" s="8">
        <v>176.0</v>
      </c>
      <c r="R208" s="10">
        <v>87.0</v>
      </c>
      <c r="S208" s="9">
        <v>0.5556</v>
      </c>
      <c r="T208" s="11">
        <v>10.0</v>
      </c>
    </row>
    <row r="209">
      <c r="A209" s="1" t="s">
        <v>440</v>
      </c>
      <c r="B209" s="1" t="s">
        <v>441</v>
      </c>
      <c r="C209" s="1" t="s">
        <v>32</v>
      </c>
      <c r="D209" s="6">
        <v>45811.0</v>
      </c>
      <c r="E209" s="7">
        <v>45857.0</v>
      </c>
      <c r="F209" s="8">
        <v>12.0</v>
      </c>
      <c r="G209" s="8">
        <v>7.0</v>
      </c>
      <c r="H209" s="8">
        <v>7.0</v>
      </c>
      <c r="I209" s="9">
        <v>0.7096</v>
      </c>
      <c r="J209" s="8">
        <v>3.2</v>
      </c>
      <c r="K209" s="8">
        <v>4.3</v>
      </c>
      <c r="L209" s="4" t="s">
        <v>33</v>
      </c>
      <c r="M209" s="8">
        <v>1.0</v>
      </c>
      <c r="N209" s="8">
        <v>2.0</v>
      </c>
      <c r="O209" s="8">
        <v>18.0</v>
      </c>
      <c r="P209" s="9">
        <v>0.2128</v>
      </c>
      <c r="Q209" s="8">
        <v>134.0</v>
      </c>
      <c r="R209" s="10">
        <v>46.0</v>
      </c>
      <c r="S209" s="9">
        <v>0.5833</v>
      </c>
      <c r="T209" s="11">
        <v>4.17</v>
      </c>
    </row>
    <row r="210">
      <c r="A210" s="1" t="s">
        <v>442</v>
      </c>
      <c r="B210" s="1" t="s">
        <v>443</v>
      </c>
      <c r="C210" s="1" t="s">
        <v>28</v>
      </c>
      <c r="D210" s="6">
        <v>45809.0</v>
      </c>
      <c r="E210" s="7">
        <v>45895.0</v>
      </c>
      <c r="F210" s="8">
        <v>44.0</v>
      </c>
      <c r="G210" s="8">
        <v>32.0</v>
      </c>
      <c r="H210" s="8">
        <v>3.1</v>
      </c>
      <c r="I210" s="9">
        <v>0.8027</v>
      </c>
      <c r="J210" s="8">
        <v>5.9</v>
      </c>
      <c r="K210" s="8">
        <v>6.5</v>
      </c>
      <c r="L210" s="4" t="s">
        <v>29</v>
      </c>
      <c r="M210" s="8">
        <v>3.0</v>
      </c>
      <c r="N210" s="8">
        <v>1.0</v>
      </c>
      <c r="O210" s="8">
        <v>23.0</v>
      </c>
      <c r="P210" s="9">
        <v>0.6188</v>
      </c>
      <c r="Q210" s="8">
        <v>159.0</v>
      </c>
      <c r="R210" s="10">
        <v>86.0</v>
      </c>
      <c r="S210" s="9">
        <v>0.7273</v>
      </c>
      <c r="T210" s="11">
        <v>10.0</v>
      </c>
    </row>
    <row r="211">
      <c r="A211" s="1" t="s">
        <v>444</v>
      </c>
      <c r="B211" s="1" t="s">
        <v>445</v>
      </c>
      <c r="C211" s="1" t="s">
        <v>32</v>
      </c>
      <c r="D211" s="7">
        <v>45827.0</v>
      </c>
      <c r="E211" s="6">
        <v>45878.0</v>
      </c>
      <c r="F211" s="8">
        <v>44.0</v>
      </c>
      <c r="G211" s="8">
        <v>23.0</v>
      </c>
      <c r="H211" s="8">
        <v>7.1</v>
      </c>
      <c r="I211" s="9">
        <v>0.6207</v>
      </c>
      <c r="J211" s="8">
        <v>2.4</v>
      </c>
      <c r="K211" s="8">
        <v>1.4</v>
      </c>
      <c r="L211" s="4" t="s">
        <v>33</v>
      </c>
      <c r="M211" s="8">
        <v>2.0</v>
      </c>
      <c r="N211" s="8">
        <v>2.0</v>
      </c>
      <c r="O211" s="8">
        <v>10.0</v>
      </c>
      <c r="P211" s="9">
        <v>0.2907</v>
      </c>
      <c r="Q211" s="8">
        <v>191.0</v>
      </c>
      <c r="R211" s="10">
        <v>51.0</v>
      </c>
      <c r="S211" s="9">
        <v>0.5227</v>
      </c>
      <c r="T211" s="11">
        <v>3.68</v>
      </c>
    </row>
    <row r="212">
      <c r="A212" s="1" t="s">
        <v>446</v>
      </c>
      <c r="B212" s="1" t="s">
        <v>447</v>
      </c>
      <c r="C212" s="1" t="s">
        <v>28</v>
      </c>
      <c r="D212" s="6">
        <v>45814.0</v>
      </c>
      <c r="E212" s="7">
        <v>45860.0</v>
      </c>
      <c r="F212" s="8">
        <v>17.0</v>
      </c>
      <c r="G212" s="8">
        <v>9.0</v>
      </c>
      <c r="H212" s="8">
        <v>3.6</v>
      </c>
      <c r="I212" s="9">
        <v>0.7002</v>
      </c>
      <c r="J212" s="8">
        <v>3.8</v>
      </c>
      <c r="K212" s="8">
        <v>3.1</v>
      </c>
      <c r="L212" s="4" t="s">
        <v>29</v>
      </c>
      <c r="M212" s="8">
        <v>1.0</v>
      </c>
      <c r="N212" s="8">
        <v>3.0</v>
      </c>
      <c r="O212" s="8">
        <v>22.0</v>
      </c>
      <c r="P212" s="9">
        <v>0.3124</v>
      </c>
      <c r="Q212" s="8">
        <v>124.0</v>
      </c>
      <c r="R212" s="10">
        <v>46.0</v>
      </c>
      <c r="S212" s="9">
        <v>0.5294</v>
      </c>
      <c r="T212" s="11">
        <v>7.35</v>
      </c>
    </row>
    <row r="213">
      <c r="A213" s="1" t="s">
        <v>448</v>
      </c>
      <c r="B213" s="1" t="s">
        <v>449</v>
      </c>
      <c r="C213" s="1" t="s">
        <v>28</v>
      </c>
      <c r="D213" s="7">
        <v>45828.0</v>
      </c>
      <c r="E213" s="6">
        <v>45870.0</v>
      </c>
      <c r="F213" s="8">
        <v>50.0</v>
      </c>
      <c r="G213" s="8">
        <v>36.0</v>
      </c>
      <c r="H213" s="8">
        <v>1.5</v>
      </c>
      <c r="I213" s="9">
        <v>0.8931</v>
      </c>
      <c r="J213" s="8">
        <v>7.3</v>
      </c>
      <c r="K213" s="8">
        <v>7.7</v>
      </c>
      <c r="L213" s="4" t="s">
        <v>29</v>
      </c>
      <c r="M213" s="8">
        <v>5.0</v>
      </c>
      <c r="N213" s="8">
        <v>2.0</v>
      </c>
      <c r="O213" s="8">
        <v>33.0</v>
      </c>
      <c r="P213" s="9">
        <v>0.7223</v>
      </c>
      <c r="Q213" s="8">
        <v>126.0</v>
      </c>
      <c r="R213" s="10">
        <v>42.0</v>
      </c>
      <c r="S213" s="9">
        <v>0.72</v>
      </c>
      <c r="T213" s="11">
        <v>10.0</v>
      </c>
    </row>
    <row r="214">
      <c r="A214" s="1" t="s">
        <v>450</v>
      </c>
      <c r="B214" s="1" t="s">
        <v>451</v>
      </c>
      <c r="C214" s="1" t="s">
        <v>28</v>
      </c>
      <c r="D214" s="6">
        <v>45813.0</v>
      </c>
      <c r="E214" s="7">
        <v>45883.0</v>
      </c>
      <c r="F214" s="8">
        <v>19.0</v>
      </c>
      <c r="G214" s="8">
        <v>13.0</v>
      </c>
      <c r="H214" s="8">
        <v>1.9</v>
      </c>
      <c r="I214" s="9">
        <v>0.8529</v>
      </c>
      <c r="J214" s="8">
        <v>5.9</v>
      </c>
      <c r="K214" s="8">
        <v>6.2</v>
      </c>
      <c r="L214" s="4" t="s">
        <v>29</v>
      </c>
      <c r="M214" s="8">
        <v>1.0</v>
      </c>
      <c r="N214" s="8">
        <v>4.0</v>
      </c>
      <c r="O214" s="8">
        <v>33.0</v>
      </c>
      <c r="P214" s="9">
        <v>0.5919</v>
      </c>
      <c r="Q214" s="8">
        <v>160.0</v>
      </c>
      <c r="R214" s="10">
        <v>70.0</v>
      </c>
      <c r="S214" s="9">
        <v>0.6842</v>
      </c>
      <c r="T214" s="11">
        <v>10.0</v>
      </c>
    </row>
    <row r="215">
      <c r="A215" s="1" t="s">
        <v>452</v>
      </c>
      <c r="B215" s="1" t="s">
        <v>453</v>
      </c>
      <c r="C215" s="1" t="s">
        <v>22</v>
      </c>
      <c r="D215" s="7">
        <v>45819.0</v>
      </c>
      <c r="E215" s="6">
        <v>45874.0</v>
      </c>
      <c r="F215" s="8">
        <v>19.0</v>
      </c>
      <c r="G215" s="8">
        <v>13.0</v>
      </c>
      <c r="H215" s="8">
        <v>6.7</v>
      </c>
      <c r="I215" s="9">
        <v>0.6818</v>
      </c>
      <c r="J215" s="8">
        <v>7.5</v>
      </c>
      <c r="K215" s="8">
        <v>8.8</v>
      </c>
      <c r="L215" s="4" t="s">
        <v>23</v>
      </c>
      <c r="M215" s="8">
        <v>2.0</v>
      </c>
      <c r="N215" s="8">
        <v>1.0</v>
      </c>
      <c r="O215" s="8">
        <v>46.0</v>
      </c>
      <c r="P215" s="9">
        <v>0.7745</v>
      </c>
      <c r="Q215" s="8">
        <v>158.0</v>
      </c>
      <c r="R215" s="10">
        <v>55.0</v>
      </c>
      <c r="S215" s="9">
        <v>0.6842</v>
      </c>
      <c r="T215" s="11">
        <v>5.11</v>
      </c>
    </row>
    <row r="216">
      <c r="A216" s="1" t="s">
        <v>454</v>
      </c>
      <c r="B216" s="1" t="s">
        <v>455</v>
      </c>
      <c r="C216" s="1" t="s">
        <v>22</v>
      </c>
      <c r="D216" s="6">
        <v>45814.0</v>
      </c>
      <c r="E216" s="7">
        <v>45891.0</v>
      </c>
      <c r="F216" s="8">
        <v>29.0</v>
      </c>
      <c r="G216" s="8">
        <v>19.0</v>
      </c>
      <c r="H216" s="8">
        <v>6.8</v>
      </c>
      <c r="I216" s="9">
        <v>0.6688</v>
      </c>
      <c r="J216" s="8">
        <v>7.9</v>
      </c>
      <c r="K216" s="8">
        <v>8.7</v>
      </c>
      <c r="L216" s="4" t="s">
        <v>23</v>
      </c>
      <c r="M216" s="8">
        <v>1.0</v>
      </c>
      <c r="N216" s="8">
        <v>1.0</v>
      </c>
      <c r="O216" s="8">
        <v>44.0</v>
      </c>
      <c r="P216" s="9">
        <v>0.8407</v>
      </c>
      <c r="Q216" s="8">
        <v>178.0</v>
      </c>
      <c r="R216" s="10">
        <v>77.0</v>
      </c>
      <c r="S216" s="9">
        <v>0.6552</v>
      </c>
      <c r="T216" s="11">
        <v>4.82</v>
      </c>
    </row>
    <row r="217">
      <c r="A217" s="1" t="s">
        <v>456</v>
      </c>
      <c r="B217" s="1" t="s">
        <v>457</v>
      </c>
      <c r="C217" s="1" t="s">
        <v>32</v>
      </c>
      <c r="D217" s="7">
        <v>45825.0</v>
      </c>
      <c r="E217" s="7">
        <v>45861.0</v>
      </c>
      <c r="F217" s="8">
        <v>24.0</v>
      </c>
      <c r="G217" s="8">
        <v>12.0</v>
      </c>
      <c r="H217" s="8">
        <v>1.5</v>
      </c>
      <c r="I217" s="9">
        <v>0.7084</v>
      </c>
      <c r="J217" s="8">
        <v>3.3</v>
      </c>
      <c r="K217" s="8">
        <v>2.3</v>
      </c>
      <c r="L217" s="4" t="s">
        <v>33</v>
      </c>
      <c r="M217" s="8">
        <v>1.0</v>
      </c>
      <c r="N217" s="8">
        <v>3.0</v>
      </c>
      <c r="O217" s="8">
        <v>11.0</v>
      </c>
      <c r="P217" s="9">
        <v>0.407</v>
      </c>
      <c r="Q217" s="8">
        <v>155.0</v>
      </c>
      <c r="R217" s="10">
        <v>36.0</v>
      </c>
      <c r="S217" s="9">
        <v>0.5</v>
      </c>
      <c r="T217" s="11">
        <v>10.0</v>
      </c>
    </row>
    <row r="218">
      <c r="A218" s="1" t="s">
        <v>458</v>
      </c>
      <c r="B218" s="1" t="s">
        <v>459</v>
      </c>
      <c r="C218" s="1" t="s">
        <v>32</v>
      </c>
      <c r="D218" s="6">
        <v>45812.0</v>
      </c>
      <c r="E218" s="7">
        <v>45856.0</v>
      </c>
      <c r="F218" s="8">
        <v>47.0</v>
      </c>
      <c r="G218" s="8">
        <v>37.0</v>
      </c>
      <c r="H218" s="8">
        <v>7.7</v>
      </c>
      <c r="I218" s="9">
        <v>0.9759</v>
      </c>
      <c r="J218" s="8">
        <v>5.4</v>
      </c>
      <c r="K218" s="8">
        <v>5.3</v>
      </c>
      <c r="L218" s="4" t="s">
        <v>33</v>
      </c>
      <c r="M218" s="8">
        <v>4.0</v>
      </c>
      <c r="N218" s="8">
        <v>3.0</v>
      </c>
      <c r="O218" s="8">
        <v>19.0</v>
      </c>
      <c r="P218" s="9">
        <v>0.5813</v>
      </c>
      <c r="Q218" s="8">
        <v>192.0</v>
      </c>
      <c r="R218" s="10">
        <v>44.0</v>
      </c>
      <c r="S218" s="9">
        <v>0.7872</v>
      </c>
      <c r="T218" s="11">
        <v>5.11</v>
      </c>
    </row>
    <row r="219">
      <c r="A219" s="1" t="s">
        <v>460</v>
      </c>
      <c r="B219" s="1" t="s">
        <v>461</v>
      </c>
      <c r="C219" s="1" t="s">
        <v>22</v>
      </c>
      <c r="D219" s="7">
        <v>45828.0</v>
      </c>
      <c r="E219" s="7">
        <v>45889.0</v>
      </c>
      <c r="F219" s="8">
        <v>50.0</v>
      </c>
      <c r="G219" s="8">
        <v>37.0</v>
      </c>
      <c r="H219" s="8">
        <v>1.8</v>
      </c>
      <c r="I219" s="9">
        <v>0.7754</v>
      </c>
      <c r="J219" s="8">
        <v>7.8</v>
      </c>
      <c r="K219" s="8">
        <v>8.0</v>
      </c>
      <c r="L219" s="4" t="s">
        <v>23</v>
      </c>
      <c r="M219" s="8">
        <v>5.0</v>
      </c>
      <c r="N219" s="8">
        <v>1.0</v>
      </c>
      <c r="O219" s="8">
        <v>48.0</v>
      </c>
      <c r="P219" s="9">
        <v>0.7683</v>
      </c>
      <c r="Q219" s="8">
        <v>182.0</v>
      </c>
      <c r="R219" s="10">
        <v>61.0</v>
      </c>
      <c r="S219" s="9">
        <v>0.74</v>
      </c>
      <c r="T219" s="11">
        <v>10.0</v>
      </c>
    </row>
    <row r="220">
      <c r="A220" s="1" t="s">
        <v>462</v>
      </c>
      <c r="B220" s="1" t="s">
        <v>463</v>
      </c>
      <c r="C220" s="1" t="s">
        <v>32</v>
      </c>
      <c r="D220" s="6">
        <v>45814.0</v>
      </c>
      <c r="E220" s="7">
        <v>45861.0</v>
      </c>
      <c r="F220" s="8">
        <v>12.0</v>
      </c>
      <c r="G220" s="8">
        <v>8.0</v>
      </c>
      <c r="H220" s="8">
        <v>6.4</v>
      </c>
      <c r="I220" s="9">
        <v>0.7424</v>
      </c>
      <c r="J220" s="8">
        <v>3.5</v>
      </c>
      <c r="K220" s="8">
        <v>2.5</v>
      </c>
      <c r="L220" s="4" t="s">
        <v>33</v>
      </c>
      <c r="M220" s="8">
        <v>2.0</v>
      </c>
      <c r="N220" s="8">
        <v>2.0</v>
      </c>
      <c r="O220" s="8">
        <v>23.0</v>
      </c>
      <c r="P220" s="9">
        <v>0.2934</v>
      </c>
      <c r="Q220" s="8">
        <v>138.0</v>
      </c>
      <c r="R220" s="10">
        <v>47.0</v>
      </c>
      <c r="S220" s="9">
        <v>0.6667</v>
      </c>
      <c r="T220" s="11">
        <v>5.21</v>
      </c>
    </row>
    <row r="221">
      <c r="A221" s="1" t="s">
        <v>464</v>
      </c>
      <c r="B221" s="1" t="s">
        <v>465</v>
      </c>
      <c r="C221" s="1" t="s">
        <v>32</v>
      </c>
      <c r="D221" s="6">
        <v>45815.0</v>
      </c>
      <c r="E221" s="7">
        <v>45869.0</v>
      </c>
      <c r="F221" s="8">
        <v>36.0</v>
      </c>
      <c r="G221" s="8">
        <v>22.0</v>
      </c>
      <c r="H221" s="8">
        <v>4.3</v>
      </c>
      <c r="I221" s="9">
        <v>0.7974</v>
      </c>
      <c r="J221" s="8">
        <v>4.1</v>
      </c>
      <c r="K221" s="8">
        <v>4.2</v>
      </c>
      <c r="L221" s="4" t="s">
        <v>33</v>
      </c>
      <c r="M221" s="8">
        <v>2.0</v>
      </c>
      <c r="N221" s="8">
        <v>3.0</v>
      </c>
      <c r="O221" s="8">
        <v>22.0</v>
      </c>
      <c r="P221" s="9">
        <v>0.4483</v>
      </c>
      <c r="Q221" s="8">
        <v>179.0</v>
      </c>
      <c r="R221" s="10">
        <v>54.0</v>
      </c>
      <c r="S221" s="9">
        <v>0.6111</v>
      </c>
      <c r="T221" s="11">
        <v>7.11</v>
      </c>
    </row>
    <row r="222">
      <c r="A222" s="1" t="s">
        <v>466</v>
      </c>
      <c r="B222" s="1" t="s">
        <v>467</v>
      </c>
      <c r="C222" s="1" t="s">
        <v>22</v>
      </c>
      <c r="D222" s="7">
        <v>45834.0</v>
      </c>
      <c r="E222" s="6">
        <v>45874.0</v>
      </c>
      <c r="F222" s="8">
        <v>47.0</v>
      </c>
      <c r="G222" s="8">
        <v>26.0</v>
      </c>
      <c r="H222" s="8">
        <v>6.8</v>
      </c>
      <c r="I222" s="9">
        <v>0.7474</v>
      </c>
      <c r="J222" s="8">
        <v>5.6</v>
      </c>
      <c r="K222" s="8">
        <v>5.2</v>
      </c>
      <c r="L222" s="4" t="s">
        <v>23</v>
      </c>
      <c r="M222" s="8">
        <v>2.0</v>
      </c>
      <c r="N222" s="8">
        <v>2.0</v>
      </c>
      <c r="O222" s="8">
        <v>34.0</v>
      </c>
      <c r="P222" s="9">
        <v>0.603</v>
      </c>
      <c r="Q222" s="8">
        <v>196.0</v>
      </c>
      <c r="R222" s="10">
        <v>40.0</v>
      </c>
      <c r="S222" s="9">
        <v>0.5532</v>
      </c>
      <c r="T222" s="11">
        <v>4.07</v>
      </c>
    </row>
    <row r="223">
      <c r="A223" s="1" t="s">
        <v>468</v>
      </c>
      <c r="B223" s="1" t="s">
        <v>469</v>
      </c>
      <c r="C223" s="1" t="s">
        <v>32</v>
      </c>
      <c r="D223" s="6">
        <v>45814.0</v>
      </c>
      <c r="E223" s="7">
        <v>45881.0</v>
      </c>
      <c r="F223" s="8">
        <v>13.0</v>
      </c>
      <c r="G223" s="8">
        <v>8.0</v>
      </c>
      <c r="H223" s="8">
        <v>7.4</v>
      </c>
      <c r="I223" s="9">
        <v>0.7204</v>
      </c>
      <c r="J223" s="8">
        <v>3.2</v>
      </c>
      <c r="K223" s="8">
        <v>3.2</v>
      </c>
      <c r="L223" s="4" t="s">
        <v>33</v>
      </c>
      <c r="M223" s="8">
        <v>1.0</v>
      </c>
      <c r="N223" s="8">
        <v>1.0</v>
      </c>
      <c r="O223" s="8">
        <v>16.0</v>
      </c>
      <c r="P223" s="9">
        <v>0.3123</v>
      </c>
      <c r="Q223" s="8">
        <v>148.0</v>
      </c>
      <c r="R223" s="10">
        <v>67.0</v>
      </c>
      <c r="S223" s="9">
        <v>0.6154</v>
      </c>
      <c r="T223" s="11">
        <v>4.16</v>
      </c>
    </row>
    <row r="224">
      <c r="A224" s="1" t="s">
        <v>470</v>
      </c>
      <c r="B224" s="1" t="s">
        <v>471</v>
      </c>
      <c r="C224" s="1" t="s">
        <v>28</v>
      </c>
      <c r="D224" s="7">
        <v>45832.0</v>
      </c>
      <c r="E224" s="7">
        <v>45913.0</v>
      </c>
      <c r="F224" s="8">
        <v>21.0</v>
      </c>
      <c r="G224" s="8">
        <v>10.0</v>
      </c>
      <c r="H224" s="8">
        <v>5.8</v>
      </c>
      <c r="I224" s="9">
        <v>0.6282</v>
      </c>
      <c r="J224" s="8">
        <v>2.5</v>
      </c>
      <c r="K224" s="8">
        <v>1.6</v>
      </c>
      <c r="L224" s="4" t="s">
        <v>29</v>
      </c>
      <c r="M224" s="8">
        <v>1.0</v>
      </c>
      <c r="N224" s="8">
        <v>6.0</v>
      </c>
      <c r="O224" s="8">
        <v>29.0</v>
      </c>
      <c r="P224" s="9">
        <v>0.1839</v>
      </c>
      <c r="Q224" s="8">
        <v>174.0</v>
      </c>
      <c r="R224" s="10">
        <v>81.0</v>
      </c>
      <c r="S224" s="9">
        <v>0.4762</v>
      </c>
      <c r="T224" s="11">
        <v>4.11</v>
      </c>
    </row>
    <row r="225">
      <c r="A225" s="1" t="s">
        <v>472</v>
      </c>
      <c r="B225" s="1" t="s">
        <v>473</v>
      </c>
      <c r="C225" s="1" t="s">
        <v>22</v>
      </c>
      <c r="D225" s="7">
        <v>45818.0</v>
      </c>
      <c r="E225" s="7">
        <v>45852.0</v>
      </c>
      <c r="F225" s="8">
        <v>48.0</v>
      </c>
      <c r="G225" s="8">
        <v>29.0</v>
      </c>
      <c r="H225" s="8">
        <v>9.1</v>
      </c>
      <c r="I225" s="9">
        <v>0.6864</v>
      </c>
      <c r="J225" s="8">
        <v>6.2</v>
      </c>
      <c r="K225" s="8">
        <v>6.4</v>
      </c>
      <c r="L225" s="4" t="s">
        <v>23</v>
      </c>
      <c r="M225" s="8">
        <v>5.0</v>
      </c>
      <c r="N225" s="8">
        <v>0.0</v>
      </c>
      <c r="O225" s="8">
        <v>34.0</v>
      </c>
      <c r="P225" s="9">
        <v>0.5122</v>
      </c>
      <c r="Q225" s="8">
        <v>200.0</v>
      </c>
      <c r="R225" s="10">
        <v>34.0</v>
      </c>
      <c r="S225" s="9">
        <v>0.6042</v>
      </c>
      <c r="T225" s="11">
        <v>3.32</v>
      </c>
    </row>
    <row r="226">
      <c r="A226" s="1" t="s">
        <v>474</v>
      </c>
      <c r="B226" s="1" t="s">
        <v>475</v>
      </c>
      <c r="C226" s="1" t="s">
        <v>22</v>
      </c>
      <c r="D226" s="7">
        <v>45831.0</v>
      </c>
      <c r="E226" s="6">
        <v>45908.0</v>
      </c>
      <c r="F226" s="8">
        <v>31.0</v>
      </c>
      <c r="G226" s="8">
        <v>20.0</v>
      </c>
      <c r="H226" s="8">
        <v>4.7</v>
      </c>
      <c r="I226" s="9">
        <v>0.7379</v>
      </c>
      <c r="J226" s="8">
        <v>6.7</v>
      </c>
      <c r="K226" s="8">
        <v>6.2</v>
      </c>
      <c r="L226" s="4" t="s">
        <v>23</v>
      </c>
      <c r="M226" s="8">
        <v>1.0</v>
      </c>
      <c r="N226" s="8">
        <v>1.0</v>
      </c>
      <c r="O226" s="8">
        <v>45.0</v>
      </c>
      <c r="P226" s="9">
        <v>0.7439</v>
      </c>
      <c r="Q226" s="8">
        <v>136.0</v>
      </c>
      <c r="R226" s="10">
        <v>77.0</v>
      </c>
      <c r="S226" s="9">
        <v>0.6452</v>
      </c>
      <c r="T226" s="11">
        <v>6.86</v>
      </c>
    </row>
    <row r="227">
      <c r="A227" s="1" t="s">
        <v>476</v>
      </c>
      <c r="B227" s="1" t="s">
        <v>477</v>
      </c>
      <c r="C227" s="1" t="s">
        <v>28</v>
      </c>
      <c r="D227" s="6">
        <v>45817.0</v>
      </c>
      <c r="E227" s="7">
        <v>45880.0</v>
      </c>
      <c r="F227" s="8">
        <v>42.0</v>
      </c>
      <c r="G227" s="8">
        <v>29.0</v>
      </c>
      <c r="H227" s="8">
        <v>7.6</v>
      </c>
      <c r="I227" s="9">
        <v>0.8963</v>
      </c>
      <c r="J227" s="8">
        <v>6.0</v>
      </c>
      <c r="K227" s="8">
        <v>6.8</v>
      </c>
      <c r="L227" s="4" t="s">
        <v>29</v>
      </c>
      <c r="M227" s="8">
        <v>4.0</v>
      </c>
      <c r="N227" s="8">
        <v>3.0</v>
      </c>
      <c r="O227" s="8">
        <v>40.0</v>
      </c>
      <c r="P227" s="9">
        <v>0.6917</v>
      </c>
      <c r="Q227" s="8">
        <v>147.0</v>
      </c>
      <c r="R227" s="10">
        <v>63.0</v>
      </c>
      <c r="S227" s="9">
        <v>0.6905</v>
      </c>
      <c r="T227" s="11">
        <v>4.54</v>
      </c>
    </row>
    <row r="228">
      <c r="A228" s="1" t="s">
        <v>478</v>
      </c>
      <c r="B228" s="1" t="s">
        <v>479</v>
      </c>
      <c r="C228" s="1" t="s">
        <v>28</v>
      </c>
      <c r="D228" s="7">
        <v>45838.0</v>
      </c>
      <c r="E228" s="7">
        <v>45900.0</v>
      </c>
      <c r="F228" s="8">
        <v>28.0</v>
      </c>
      <c r="G228" s="8">
        <v>20.0</v>
      </c>
      <c r="H228" s="8">
        <v>6.1</v>
      </c>
      <c r="I228" s="9">
        <v>0.7244</v>
      </c>
      <c r="J228" s="8">
        <v>5.2</v>
      </c>
      <c r="K228" s="8">
        <v>5.2</v>
      </c>
      <c r="L228" s="4" t="s">
        <v>29</v>
      </c>
      <c r="M228" s="8">
        <v>1.0</v>
      </c>
      <c r="N228" s="8">
        <v>0.0</v>
      </c>
      <c r="O228" s="8">
        <v>26.0</v>
      </c>
      <c r="P228" s="9">
        <v>0.5311</v>
      </c>
      <c r="Q228" s="8">
        <v>138.0</v>
      </c>
      <c r="R228" s="10">
        <v>62.0</v>
      </c>
      <c r="S228" s="9">
        <v>0.7143</v>
      </c>
      <c r="T228" s="11">
        <v>5.85</v>
      </c>
    </row>
    <row r="229">
      <c r="A229" s="1" t="s">
        <v>480</v>
      </c>
      <c r="B229" s="1" t="s">
        <v>481</v>
      </c>
      <c r="C229" s="1" t="s">
        <v>32</v>
      </c>
      <c r="D229" s="6">
        <v>45815.0</v>
      </c>
      <c r="E229" s="6">
        <v>45873.0</v>
      </c>
      <c r="F229" s="8">
        <v>10.0</v>
      </c>
      <c r="G229" s="8">
        <v>7.0</v>
      </c>
      <c r="H229" s="8">
        <v>2.0</v>
      </c>
      <c r="I229" s="9">
        <v>0.8716</v>
      </c>
      <c r="J229" s="8">
        <v>5.6</v>
      </c>
      <c r="K229" s="8">
        <v>5.0</v>
      </c>
      <c r="L229" s="4" t="s">
        <v>33</v>
      </c>
      <c r="M229" s="8">
        <v>1.0</v>
      </c>
      <c r="N229" s="8">
        <v>3.0</v>
      </c>
      <c r="O229" s="8">
        <v>17.0</v>
      </c>
      <c r="P229" s="9">
        <v>0.5728</v>
      </c>
      <c r="Q229" s="8">
        <v>136.0</v>
      </c>
      <c r="R229" s="10">
        <v>58.0</v>
      </c>
      <c r="S229" s="9">
        <v>0.7</v>
      </c>
      <c r="T229" s="11">
        <v>10.0</v>
      </c>
    </row>
    <row r="230">
      <c r="A230" s="1" t="s">
        <v>482</v>
      </c>
      <c r="B230" s="1" t="s">
        <v>483</v>
      </c>
      <c r="C230" s="1" t="s">
        <v>28</v>
      </c>
      <c r="D230" s="7">
        <v>45837.0</v>
      </c>
      <c r="E230" s="7">
        <v>45867.0</v>
      </c>
      <c r="F230" s="8">
        <v>12.0</v>
      </c>
      <c r="G230" s="8">
        <v>6.0</v>
      </c>
      <c r="H230" s="8">
        <v>7.2</v>
      </c>
      <c r="I230" s="9">
        <v>0.6825</v>
      </c>
      <c r="J230" s="8">
        <v>3.7</v>
      </c>
      <c r="K230" s="8">
        <v>3.9</v>
      </c>
      <c r="L230" s="4" t="s">
        <v>29</v>
      </c>
      <c r="M230" s="8">
        <v>1.0</v>
      </c>
      <c r="N230" s="8">
        <v>7.0</v>
      </c>
      <c r="O230" s="8">
        <v>24.0</v>
      </c>
      <c r="P230" s="9">
        <v>0.4579</v>
      </c>
      <c r="Q230" s="8">
        <v>199.0</v>
      </c>
      <c r="R230" s="10">
        <v>30.0</v>
      </c>
      <c r="S230" s="9">
        <v>0.5</v>
      </c>
      <c r="T230" s="11">
        <v>3.47</v>
      </c>
    </row>
    <row r="231">
      <c r="A231" s="1" t="s">
        <v>484</v>
      </c>
      <c r="B231" s="1" t="s">
        <v>485</v>
      </c>
      <c r="C231" s="1" t="s">
        <v>32</v>
      </c>
      <c r="D231" s="7">
        <v>45827.0</v>
      </c>
      <c r="E231" s="6">
        <v>45874.0</v>
      </c>
      <c r="F231" s="8">
        <v>11.0</v>
      </c>
      <c r="G231" s="8">
        <v>5.0</v>
      </c>
      <c r="H231" s="8">
        <v>1.1</v>
      </c>
      <c r="I231" s="9">
        <v>0.6814</v>
      </c>
      <c r="J231" s="8">
        <v>1.7</v>
      </c>
      <c r="K231" s="8">
        <v>2.9</v>
      </c>
      <c r="L231" s="4" t="s">
        <v>33</v>
      </c>
      <c r="M231" s="8">
        <v>1.0</v>
      </c>
      <c r="N231" s="8">
        <v>3.0</v>
      </c>
      <c r="O231" s="8">
        <v>21.0</v>
      </c>
      <c r="P231" s="9">
        <v>0.1163</v>
      </c>
      <c r="Q231" s="8">
        <v>127.0</v>
      </c>
      <c r="R231" s="10">
        <v>47.0</v>
      </c>
      <c r="S231" s="9">
        <v>0.4545</v>
      </c>
      <c r="T231" s="11">
        <v>10.0</v>
      </c>
    </row>
    <row r="232">
      <c r="A232" s="1" t="s">
        <v>486</v>
      </c>
      <c r="B232" s="1" t="s">
        <v>487</v>
      </c>
      <c r="C232" s="1" t="s">
        <v>32</v>
      </c>
      <c r="D232" s="6">
        <v>45811.0</v>
      </c>
      <c r="E232" s="7">
        <v>45859.0</v>
      </c>
      <c r="F232" s="8">
        <v>22.0</v>
      </c>
      <c r="G232" s="8">
        <v>16.0</v>
      </c>
      <c r="H232" s="8">
        <v>10.0</v>
      </c>
      <c r="I232" s="9">
        <v>0.9509</v>
      </c>
      <c r="J232" s="8">
        <v>5.6</v>
      </c>
      <c r="K232" s="8">
        <v>4.3</v>
      </c>
      <c r="L232" s="4" t="s">
        <v>33</v>
      </c>
      <c r="M232" s="8">
        <v>2.0</v>
      </c>
      <c r="N232" s="8">
        <v>5.0</v>
      </c>
      <c r="O232" s="8">
        <v>21.0</v>
      </c>
      <c r="P232" s="9">
        <v>0.591</v>
      </c>
      <c r="Q232" s="8">
        <v>197.0</v>
      </c>
      <c r="R232" s="10">
        <v>48.0</v>
      </c>
      <c r="S232" s="9">
        <v>0.7273</v>
      </c>
      <c r="T232" s="11">
        <v>3.64</v>
      </c>
    </row>
    <row r="233">
      <c r="A233" s="1" t="s">
        <v>488</v>
      </c>
      <c r="B233" s="1" t="s">
        <v>489</v>
      </c>
      <c r="C233" s="1" t="s">
        <v>22</v>
      </c>
      <c r="D233" s="6">
        <v>45812.0</v>
      </c>
      <c r="E233" s="7">
        <v>45866.0</v>
      </c>
      <c r="F233" s="8">
        <v>40.0</v>
      </c>
      <c r="G233" s="8">
        <v>28.0</v>
      </c>
      <c r="H233" s="8">
        <v>5.4</v>
      </c>
      <c r="I233" s="9">
        <v>0.749</v>
      </c>
      <c r="J233" s="8">
        <v>6.5</v>
      </c>
      <c r="K233" s="8">
        <v>6.7</v>
      </c>
      <c r="L233" s="4" t="s">
        <v>23</v>
      </c>
      <c r="M233" s="8">
        <v>3.0</v>
      </c>
      <c r="N233" s="8">
        <v>1.0</v>
      </c>
      <c r="O233" s="8">
        <v>33.0</v>
      </c>
      <c r="P233" s="9">
        <v>0.7257</v>
      </c>
      <c r="Q233" s="8">
        <v>177.0</v>
      </c>
      <c r="R233" s="10">
        <v>54.0</v>
      </c>
      <c r="S233" s="9">
        <v>0.7</v>
      </c>
      <c r="T233" s="11">
        <v>6.48</v>
      </c>
    </row>
    <row r="234">
      <c r="A234" s="1" t="s">
        <v>490</v>
      </c>
      <c r="B234" s="1" t="s">
        <v>491</v>
      </c>
      <c r="C234" s="1" t="s">
        <v>22</v>
      </c>
      <c r="D234" s="7">
        <v>45836.0</v>
      </c>
      <c r="E234" s="6">
        <v>45872.0</v>
      </c>
      <c r="F234" s="8">
        <v>41.0</v>
      </c>
      <c r="G234" s="8">
        <v>33.0</v>
      </c>
      <c r="H234" s="8">
        <v>7.0</v>
      </c>
      <c r="I234" s="9">
        <v>0.9128</v>
      </c>
      <c r="J234" s="8">
        <v>9.2</v>
      </c>
      <c r="K234" s="8">
        <v>10.0</v>
      </c>
      <c r="L234" s="4" t="s">
        <v>23</v>
      </c>
      <c r="M234" s="8">
        <v>3.0</v>
      </c>
      <c r="N234" s="8">
        <v>0.0</v>
      </c>
      <c r="O234" s="8">
        <v>42.0</v>
      </c>
      <c r="P234" s="9">
        <v>0.9549</v>
      </c>
      <c r="Q234" s="8">
        <v>125.0</v>
      </c>
      <c r="R234" s="10">
        <v>36.0</v>
      </c>
      <c r="S234" s="9">
        <v>0.8049</v>
      </c>
      <c r="T234" s="11">
        <v>5.75</v>
      </c>
    </row>
    <row r="235">
      <c r="A235" s="1" t="s">
        <v>492</v>
      </c>
      <c r="B235" s="1" t="s">
        <v>493</v>
      </c>
      <c r="C235" s="1" t="s">
        <v>22</v>
      </c>
      <c r="D235" s="7">
        <v>45820.0</v>
      </c>
      <c r="E235" s="7">
        <v>45891.0</v>
      </c>
      <c r="F235" s="8">
        <v>40.0</v>
      </c>
      <c r="G235" s="8">
        <v>37.0</v>
      </c>
      <c r="H235" s="8">
        <v>9.0</v>
      </c>
      <c r="I235" s="9">
        <v>0.9</v>
      </c>
      <c r="J235" s="8">
        <v>10.0</v>
      </c>
      <c r="K235" s="8">
        <v>10.0</v>
      </c>
      <c r="L235" s="4" t="s">
        <v>23</v>
      </c>
      <c r="M235" s="8">
        <v>5.0</v>
      </c>
      <c r="N235" s="8">
        <v>0.0</v>
      </c>
      <c r="O235" s="8">
        <v>46.0</v>
      </c>
      <c r="P235" s="9">
        <v>1.0</v>
      </c>
      <c r="Q235" s="8">
        <v>180.0</v>
      </c>
      <c r="R235" s="10">
        <v>71.0</v>
      </c>
      <c r="S235" s="9">
        <v>0.925</v>
      </c>
      <c r="T235" s="11">
        <v>5.14</v>
      </c>
    </row>
    <row r="236">
      <c r="A236" s="1" t="s">
        <v>494</v>
      </c>
      <c r="B236" s="1" t="s">
        <v>495</v>
      </c>
      <c r="C236" s="1" t="s">
        <v>22</v>
      </c>
      <c r="D236" s="7">
        <v>45825.0</v>
      </c>
      <c r="E236" s="6">
        <v>45870.0</v>
      </c>
      <c r="F236" s="8">
        <v>49.0</v>
      </c>
      <c r="G236" s="8">
        <v>43.0</v>
      </c>
      <c r="H236" s="8">
        <v>8.8</v>
      </c>
      <c r="I236" s="9">
        <v>0.8866</v>
      </c>
      <c r="J236" s="8">
        <v>9.5</v>
      </c>
      <c r="K236" s="8">
        <v>10.0</v>
      </c>
      <c r="L236" s="4" t="s">
        <v>23</v>
      </c>
      <c r="M236" s="8">
        <v>5.0</v>
      </c>
      <c r="N236" s="8">
        <v>0.0</v>
      </c>
      <c r="O236" s="8">
        <v>45.0</v>
      </c>
      <c r="P236" s="9">
        <v>0.993</v>
      </c>
      <c r="Q236" s="8">
        <v>121.0</v>
      </c>
      <c r="R236" s="10">
        <v>45.0</v>
      </c>
      <c r="S236" s="9">
        <v>0.8776</v>
      </c>
      <c r="T236" s="11">
        <v>4.99</v>
      </c>
    </row>
    <row r="237">
      <c r="A237" s="1" t="s">
        <v>496</v>
      </c>
      <c r="B237" s="1" t="s">
        <v>497</v>
      </c>
      <c r="C237" s="1" t="s">
        <v>32</v>
      </c>
      <c r="D237" s="7">
        <v>45821.0</v>
      </c>
      <c r="E237" s="7">
        <v>45896.0</v>
      </c>
      <c r="F237" s="8">
        <v>47.0</v>
      </c>
      <c r="G237" s="8">
        <v>23.0</v>
      </c>
      <c r="H237" s="8">
        <v>5.8</v>
      </c>
      <c r="I237" s="9">
        <v>0.6535</v>
      </c>
      <c r="J237" s="8">
        <v>3.2</v>
      </c>
      <c r="K237" s="8">
        <v>3.1</v>
      </c>
      <c r="L237" s="4" t="s">
        <v>33</v>
      </c>
      <c r="M237" s="8">
        <v>4.0</v>
      </c>
      <c r="N237" s="8">
        <v>5.0</v>
      </c>
      <c r="O237" s="8">
        <v>28.0</v>
      </c>
      <c r="P237" s="9">
        <v>0.3845</v>
      </c>
      <c r="Q237" s="8">
        <v>126.0</v>
      </c>
      <c r="R237" s="10">
        <v>75.0</v>
      </c>
      <c r="S237" s="9">
        <v>0.4894</v>
      </c>
      <c r="T237" s="11">
        <v>4.22</v>
      </c>
    </row>
    <row r="238">
      <c r="A238" s="1" t="s">
        <v>498</v>
      </c>
      <c r="B238" s="1" t="s">
        <v>499</v>
      </c>
      <c r="C238" s="1" t="s">
        <v>22</v>
      </c>
      <c r="D238" s="7">
        <v>45830.0</v>
      </c>
      <c r="E238" s="7">
        <v>45896.0</v>
      </c>
      <c r="F238" s="8">
        <v>15.0</v>
      </c>
      <c r="G238" s="8">
        <v>9.0</v>
      </c>
      <c r="H238" s="8">
        <v>7.7</v>
      </c>
      <c r="I238" s="9">
        <v>0.7059</v>
      </c>
      <c r="J238" s="8">
        <v>6.9</v>
      </c>
      <c r="K238" s="8">
        <v>6.6</v>
      </c>
      <c r="L238" s="4" t="s">
        <v>23</v>
      </c>
      <c r="M238" s="8">
        <v>1.0</v>
      </c>
      <c r="N238" s="8">
        <v>2.0</v>
      </c>
      <c r="O238" s="8">
        <v>36.0</v>
      </c>
      <c r="P238" s="9">
        <v>0.6646</v>
      </c>
      <c r="Q238" s="8">
        <v>140.0</v>
      </c>
      <c r="R238" s="10">
        <v>66.0</v>
      </c>
      <c r="S238" s="9">
        <v>0.6</v>
      </c>
      <c r="T238" s="11">
        <v>3.9</v>
      </c>
    </row>
    <row r="239">
      <c r="A239" s="1" t="s">
        <v>500</v>
      </c>
      <c r="B239" s="1" t="s">
        <v>501</v>
      </c>
      <c r="C239" s="1" t="s">
        <v>32</v>
      </c>
      <c r="D239" s="6">
        <v>45814.0</v>
      </c>
      <c r="E239" s="7">
        <v>45856.0</v>
      </c>
      <c r="F239" s="8">
        <v>15.0</v>
      </c>
      <c r="G239" s="8">
        <v>12.0</v>
      </c>
      <c r="H239" s="8">
        <v>5.6</v>
      </c>
      <c r="I239" s="9">
        <v>0.9554</v>
      </c>
      <c r="J239" s="8">
        <v>5.9</v>
      </c>
      <c r="K239" s="8">
        <v>5.6</v>
      </c>
      <c r="L239" s="4" t="s">
        <v>33</v>
      </c>
      <c r="M239" s="8">
        <v>1.0</v>
      </c>
      <c r="N239" s="8">
        <v>1.0</v>
      </c>
      <c r="O239" s="8">
        <v>24.0</v>
      </c>
      <c r="P239" s="9">
        <v>0.6716</v>
      </c>
      <c r="Q239" s="8">
        <v>121.0</v>
      </c>
      <c r="R239" s="10">
        <v>42.0</v>
      </c>
      <c r="S239" s="9">
        <v>0.8</v>
      </c>
      <c r="T239" s="11">
        <v>7.14</v>
      </c>
    </row>
    <row r="240">
      <c r="A240" s="1" t="s">
        <v>502</v>
      </c>
      <c r="B240" s="1" t="s">
        <v>503</v>
      </c>
      <c r="C240" s="1" t="s">
        <v>22</v>
      </c>
      <c r="D240" s="6">
        <v>45811.0</v>
      </c>
      <c r="E240" s="7">
        <v>45889.0</v>
      </c>
      <c r="F240" s="8">
        <v>36.0</v>
      </c>
      <c r="G240" s="8">
        <v>31.0</v>
      </c>
      <c r="H240" s="8">
        <v>8.7</v>
      </c>
      <c r="I240" s="9">
        <v>0.8992</v>
      </c>
      <c r="J240" s="8">
        <v>8.6</v>
      </c>
      <c r="K240" s="8">
        <v>8.5</v>
      </c>
      <c r="L240" s="4" t="s">
        <v>23</v>
      </c>
      <c r="M240" s="8">
        <v>5.0</v>
      </c>
      <c r="N240" s="8">
        <v>1.0</v>
      </c>
      <c r="O240" s="8">
        <v>30.0</v>
      </c>
      <c r="P240" s="9">
        <v>0.8348</v>
      </c>
      <c r="Q240" s="8">
        <v>178.0</v>
      </c>
      <c r="R240" s="10">
        <v>78.0</v>
      </c>
      <c r="S240" s="9">
        <v>0.8611</v>
      </c>
      <c r="T240" s="11">
        <v>4.95</v>
      </c>
    </row>
    <row r="241">
      <c r="A241" s="1" t="s">
        <v>504</v>
      </c>
      <c r="B241" s="1" t="s">
        <v>505</v>
      </c>
      <c r="C241" s="1" t="s">
        <v>32</v>
      </c>
      <c r="D241" s="6">
        <v>45811.0</v>
      </c>
      <c r="E241" s="7">
        <v>45898.0</v>
      </c>
      <c r="F241" s="8">
        <v>44.0</v>
      </c>
      <c r="G241" s="8">
        <v>39.0</v>
      </c>
      <c r="H241" s="8">
        <v>3.8</v>
      </c>
      <c r="I241" s="9">
        <v>0.9397</v>
      </c>
      <c r="J241" s="8">
        <v>6.4</v>
      </c>
      <c r="K241" s="8">
        <v>6.4</v>
      </c>
      <c r="L241" s="4" t="s">
        <v>33</v>
      </c>
      <c r="M241" s="8">
        <v>5.0</v>
      </c>
      <c r="N241" s="8">
        <v>0.0</v>
      </c>
      <c r="O241" s="8">
        <v>20.0</v>
      </c>
      <c r="P241" s="9">
        <v>0.5846</v>
      </c>
      <c r="Q241" s="8">
        <v>199.0</v>
      </c>
      <c r="R241" s="10">
        <v>87.0</v>
      </c>
      <c r="S241" s="9">
        <v>0.8864</v>
      </c>
      <c r="T241" s="11">
        <v>10.0</v>
      </c>
    </row>
    <row r="242">
      <c r="A242" s="1" t="s">
        <v>506</v>
      </c>
      <c r="B242" s="1" t="s">
        <v>507</v>
      </c>
      <c r="C242" s="1" t="s">
        <v>22</v>
      </c>
      <c r="D242" s="7">
        <v>45831.0</v>
      </c>
      <c r="E242" s="7">
        <v>45879.0</v>
      </c>
      <c r="F242" s="8">
        <v>38.0</v>
      </c>
      <c r="G242" s="8">
        <v>25.0</v>
      </c>
      <c r="H242" s="8">
        <v>7.4</v>
      </c>
      <c r="I242" s="9">
        <v>0.7659</v>
      </c>
      <c r="J242" s="8">
        <v>8.3</v>
      </c>
      <c r="K242" s="8">
        <v>7.4</v>
      </c>
      <c r="L242" s="4" t="s">
        <v>23</v>
      </c>
      <c r="M242" s="8">
        <v>4.0</v>
      </c>
      <c r="N242" s="8">
        <v>1.0</v>
      </c>
      <c r="O242" s="8">
        <v>39.0</v>
      </c>
      <c r="P242" s="9">
        <v>0.8023</v>
      </c>
      <c r="Q242" s="8">
        <v>174.0</v>
      </c>
      <c r="R242" s="10">
        <v>48.0</v>
      </c>
      <c r="S242" s="9">
        <v>0.6579</v>
      </c>
      <c r="T242" s="11">
        <v>4.45</v>
      </c>
    </row>
    <row r="243">
      <c r="A243" s="1" t="s">
        <v>508</v>
      </c>
      <c r="B243" s="1" t="s">
        <v>509</v>
      </c>
      <c r="C243" s="1" t="s">
        <v>32</v>
      </c>
      <c r="D243" s="7">
        <v>45833.0</v>
      </c>
      <c r="E243" s="7">
        <v>45921.0</v>
      </c>
      <c r="F243" s="8">
        <v>20.0</v>
      </c>
      <c r="G243" s="8">
        <v>12.0</v>
      </c>
      <c r="H243" s="8">
        <v>8.8</v>
      </c>
      <c r="I243" s="9">
        <v>0.8474</v>
      </c>
      <c r="J243" s="8">
        <v>3.8</v>
      </c>
      <c r="K243" s="8">
        <v>3.4</v>
      </c>
      <c r="L243" s="4" t="s">
        <v>33</v>
      </c>
      <c r="M243" s="8">
        <v>1.0</v>
      </c>
      <c r="N243" s="8">
        <v>6.0</v>
      </c>
      <c r="O243" s="8">
        <v>14.0</v>
      </c>
      <c r="P243" s="9">
        <v>0.3877</v>
      </c>
      <c r="Q243" s="8">
        <v>173.0</v>
      </c>
      <c r="R243" s="10">
        <v>88.0</v>
      </c>
      <c r="S243" s="9">
        <v>0.6</v>
      </c>
      <c r="T243" s="11">
        <v>3.41</v>
      </c>
    </row>
    <row r="244">
      <c r="A244" s="1" t="s">
        <v>510</v>
      </c>
      <c r="B244" s="1" t="s">
        <v>511</v>
      </c>
      <c r="C244" s="1" t="s">
        <v>22</v>
      </c>
      <c r="D244" s="7">
        <v>45826.0</v>
      </c>
      <c r="E244" s="6">
        <v>45875.0</v>
      </c>
      <c r="F244" s="8">
        <v>49.0</v>
      </c>
      <c r="G244" s="8">
        <v>29.0</v>
      </c>
      <c r="H244" s="8">
        <v>7.0</v>
      </c>
      <c r="I244" s="9">
        <v>0.7101</v>
      </c>
      <c r="J244" s="8">
        <v>8.3</v>
      </c>
      <c r="K244" s="8">
        <v>8.1</v>
      </c>
      <c r="L244" s="4" t="s">
        <v>23</v>
      </c>
      <c r="M244" s="8">
        <v>3.0</v>
      </c>
      <c r="N244" s="8">
        <v>2.0</v>
      </c>
      <c r="O244" s="8">
        <v>48.0</v>
      </c>
      <c r="P244" s="9">
        <v>0.8471</v>
      </c>
      <c r="Q244" s="8">
        <v>178.0</v>
      </c>
      <c r="R244" s="10">
        <v>49.0</v>
      </c>
      <c r="S244" s="9">
        <v>0.5918</v>
      </c>
      <c r="T244" s="11">
        <v>4.23</v>
      </c>
    </row>
    <row r="245">
      <c r="A245" s="1" t="s">
        <v>512</v>
      </c>
      <c r="B245" s="1" t="s">
        <v>513</v>
      </c>
      <c r="C245" s="1" t="s">
        <v>22</v>
      </c>
      <c r="D245" s="6">
        <v>45810.0</v>
      </c>
      <c r="E245" s="6">
        <v>45877.0</v>
      </c>
      <c r="F245" s="8">
        <v>47.0</v>
      </c>
      <c r="G245" s="8">
        <v>35.0</v>
      </c>
      <c r="H245" s="8">
        <v>4.6</v>
      </c>
      <c r="I245" s="9">
        <v>0.8799</v>
      </c>
      <c r="J245" s="8">
        <v>10.0</v>
      </c>
      <c r="K245" s="8">
        <v>10.0</v>
      </c>
      <c r="L245" s="4" t="s">
        <v>23</v>
      </c>
      <c r="M245" s="8">
        <v>5.0</v>
      </c>
      <c r="N245" s="8">
        <v>1.0</v>
      </c>
      <c r="O245" s="8">
        <v>41.0</v>
      </c>
      <c r="P245" s="9">
        <v>0.9424</v>
      </c>
      <c r="Q245" s="8">
        <v>145.0</v>
      </c>
      <c r="R245" s="10">
        <v>67.0</v>
      </c>
      <c r="S245" s="9">
        <v>0.7447</v>
      </c>
      <c r="T245" s="11">
        <v>8.09</v>
      </c>
    </row>
    <row r="246">
      <c r="A246" s="1" t="s">
        <v>514</v>
      </c>
      <c r="B246" s="1" t="s">
        <v>515</v>
      </c>
      <c r="C246" s="1" t="s">
        <v>22</v>
      </c>
      <c r="D246" s="7">
        <v>45824.0</v>
      </c>
      <c r="E246" s="6">
        <v>45908.0</v>
      </c>
      <c r="F246" s="8">
        <v>31.0</v>
      </c>
      <c r="G246" s="8">
        <v>25.0</v>
      </c>
      <c r="H246" s="8">
        <v>3.1</v>
      </c>
      <c r="I246" s="9">
        <v>0.8962</v>
      </c>
      <c r="J246" s="8">
        <v>9.1</v>
      </c>
      <c r="K246" s="8">
        <v>9.2</v>
      </c>
      <c r="L246" s="4" t="s">
        <v>23</v>
      </c>
      <c r="M246" s="8">
        <v>3.0</v>
      </c>
      <c r="N246" s="8">
        <v>0.0</v>
      </c>
      <c r="O246" s="8">
        <v>41.0</v>
      </c>
      <c r="P246" s="9">
        <v>0.9469</v>
      </c>
      <c r="Q246" s="8">
        <v>181.0</v>
      </c>
      <c r="R246" s="10">
        <v>84.0</v>
      </c>
      <c r="S246" s="9">
        <v>0.8065</v>
      </c>
      <c r="T246" s="11">
        <v>10.0</v>
      </c>
    </row>
    <row r="247">
      <c r="A247" s="1" t="s">
        <v>516</v>
      </c>
      <c r="B247" s="1" t="s">
        <v>517</v>
      </c>
      <c r="C247" s="1" t="s">
        <v>32</v>
      </c>
      <c r="D247" s="7">
        <v>45822.0</v>
      </c>
      <c r="E247" s="7">
        <v>45881.0</v>
      </c>
      <c r="F247" s="8">
        <v>18.0</v>
      </c>
      <c r="G247" s="8">
        <v>12.0</v>
      </c>
      <c r="H247" s="8">
        <v>9.8</v>
      </c>
      <c r="I247" s="9">
        <v>0.8387</v>
      </c>
      <c r="J247" s="8">
        <v>4.9</v>
      </c>
      <c r="K247" s="8">
        <v>5.7</v>
      </c>
      <c r="L247" s="4" t="s">
        <v>33</v>
      </c>
      <c r="M247" s="8">
        <v>2.0</v>
      </c>
      <c r="N247" s="8">
        <v>4.0</v>
      </c>
      <c r="O247" s="8">
        <v>25.0</v>
      </c>
      <c r="P247" s="9">
        <v>0.484</v>
      </c>
      <c r="Q247" s="8">
        <v>172.0</v>
      </c>
      <c r="R247" s="10">
        <v>59.0</v>
      </c>
      <c r="S247" s="9">
        <v>0.6667</v>
      </c>
      <c r="T247" s="11">
        <v>3.4</v>
      </c>
    </row>
    <row r="248">
      <c r="A248" s="1" t="s">
        <v>518</v>
      </c>
      <c r="B248" s="1" t="s">
        <v>519</v>
      </c>
      <c r="C248" s="1" t="s">
        <v>22</v>
      </c>
      <c r="D248" s="7">
        <v>45818.0</v>
      </c>
      <c r="E248" s="6">
        <v>45871.0</v>
      </c>
      <c r="F248" s="8">
        <v>20.0</v>
      </c>
      <c r="G248" s="8">
        <v>17.0</v>
      </c>
      <c r="H248" s="8">
        <v>2.5</v>
      </c>
      <c r="I248" s="9">
        <v>0.9901</v>
      </c>
      <c r="J248" s="8">
        <v>10.0</v>
      </c>
      <c r="K248" s="8">
        <v>9.5</v>
      </c>
      <c r="L248" s="4" t="s">
        <v>23</v>
      </c>
      <c r="M248" s="8">
        <v>3.0</v>
      </c>
      <c r="N248" s="8">
        <v>2.0</v>
      </c>
      <c r="O248" s="8">
        <v>46.0</v>
      </c>
      <c r="P248" s="9">
        <v>0.9981</v>
      </c>
      <c r="Q248" s="8">
        <v>122.0</v>
      </c>
      <c r="R248" s="10">
        <v>53.0</v>
      </c>
      <c r="S248" s="9">
        <v>0.85</v>
      </c>
      <c r="T248" s="11">
        <v>10.0</v>
      </c>
    </row>
    <row r="249">
      <c r="A249" s="1" t="s">
        <v>520</v>
      </c>
      <c r="B249" s="1" t="s">
        <v>521</v>
      </c>
      <c r="C249" s="1" t="s">
        <v>28</v>
      </c>
      <c r="D249" s="7">
        <v>45836.0</v>
      </c>
      <c r="E249" s="6">
        <v>45904.0</v>
      </c>
      <c r="F249" s="8">
        <v>32.0</v>
      </c>
      <c r="G249" s="8">
        <v>29.0</v>
      </c>
      <c r="H249" s="8">
        <v>3.7</v>
      </c>
      <c r="I249" s="9">
        <v>0.9941</v>
      </c>
      <c r="J249" s="8">
        <v>8.3</v>
      </c>
      <c r="K249" s="8">
        <v>8.0</v>
      </c>
      <c r="L249" s="4" t="s">
        <v>29</v>
      </c>
      <c r="M249" s="8">
        <v>3.0</v>
      </c>
      <c r="N249" s="8">
        <v>0.0</v>
      </c>
      <c r="O249" s="8">
        <v>27.0</v>
      </c>
      <c r="P249" s="9">
        <v>0.8124</v>
      </c>
      <c r="Q249" s="8">
        <v>155.0</v>
      </c>
      <c r="R249" s="10">
        <v>68.0</v>
      </c>
      <c r="S249" s="9">
        <v>0.9062</v>
      </c>
      <c r="T249" s="11">
        <v>10.0</v>
      </c>
    </row>
    <row r="250">
      <c r="A250" s="1" t="s">
        <v>522</v>
      </c>
      <c r="B250" s="1" t="s">
        <v>523</v>
      </c>
      <c r="C250" s="1" t="s">
        <v>28</v>
      </c>
      <c r="D250" s="6">
        <v>45814.0</v>
      </c>
      <c r="E250" s="7">
        <v>45848.0</v>
      </c>
      <c r="F250" s="8">
        <v>47.0</v>
      </c>
      <c r="G250" s="8">
        <v>35.0</v>
      </c>
      <c r="H250" s="8">
        <v>3.7</v>
      </c>
      <c r="I250" s="9">
        <v>0.8696</v>
      </c>
      <c r="J250" s="8">
        <v>5.5</v>
      </c>
      <c r="K250" s="8">
        <v>6.4</v>
      </c>
      <c r="L250" s="4" t="s">
        <v>29</v>
      </c>
      <c r="M250" s="8">
        <v>5.0</v>
      </c>
      <c r="N250" s="8">
        <v>2.0</v>
      </c>
      <c r="O250" s="8">
        <v>23.0</v>
      </c>
      <c r="P250" s="9">
        <v>0.5641</v>
      </c>
      <c r="Q250" s="8">
        <v>159.0</v>
      </c>
      <c r="R250" s="10">
        <v>34.0</v>
      </c>
      <c r="S250" s="9">
        <v>0.7447</v>
      </c>
      <c r="T250" s="11">
        <v>10.0</v>
      </c>
    </row>
    <row r="251">
      <c r="A251" s="1" t="s">
        <v>524</v>
      </c>
      <c r="B251" s="1" t="s">
        <v>525</v>
      </c>
      <c r="C251" s="1" t="s">
        <v>32</v>
      </c>
      <c r="D251" s="7">
        <v>45833.0</v>
      </c>
      <c r="E251" s="6">
        <v>45875.0</v>
      </c>
      <c r="F251" s="8">
        <v>32.0</v>
      </c>
      <c r="G251" s="8">
        <v>21.0</v>
      </c>
      <c r="H251" s="8">
        <v>3.8</v>
      </c>
      <c r="I251" s="9">
        <v>0.7214</v>
      </c>
      <c r="J251" s="8">
        <v>3.3</v>
      </c>
      <c r="K251" s="8">
        <v>2.5</v>
      </c>
      <c r="L251" s="4" t="s">
        <v>33</v>
      </c>
      <c r="M251" s="8">
        <v>3.0</v>
      </c>
      <c r="N251" s="8">
        <v>0.0</v>
      </c>
      <c r="O251" s="8">
        <v>12.0</v>
      </c>
      <c r="P251" s="9">
        <v>0.2139</v>
      </c>
      <c r="Q251" s="8">
        <v>195.0</v>
      </c>
      <c r="R251" s="10">
        <v>42.0</v>
      </c>
      <c r="S251" s="9">
        <v>0.6562</v>
      </c>
      <c r="T251" s="11">
        <v>8.63</v>
      </c>
    </row>
    <row r="252">
      <c r="A252" s="1" t="s">
        <v>526</v>
      </c>
      <c r="B252" s="1" t="s">
        <v>527</v>
      </c>
      <c r="C252" s="1" t="s">
        <v>28</v>
      </c>
      <c r="D252" s="7">
        <v>45824.0</v>
      </c>
      <c r="E252" s="7">
        <v>45866.0</v>
      </c>
      <c r="F252" s="8">
        <v>48.0</v>
      </c>
      <c r="G252" s="8">
        <v>43.0</v>
      </c>
      <c r="H252" s="8">
        <v>9.5</v>
      </c>
      <c r="I252" s="9">
        <v>0.9108</v>
      </c>
      <c r="J252" s="8">
        <v>7.7</v>
      </c>
      <c r="K252" s="8">
        <v>7.7</v>
      </c>
      <c r="L252" s="4" t="s">
        <v>29</v>
      </c>
      <c r="M252" s="8">
        <v>5.0</v>
      </c>
      <c r="N252" s="8">
        <v>1.0</v>
      </c>
      <c r="O252" s="8">
        <v>34.0</v>
      </c>
      <c r="P252" s="9">
        <v>0.7524</v>
      </c>
      <c r="Q252" s="8">
        <v>182.0</v>
      </c>
      <c r="R252" s="10">
        <v>42.0</v>
      </c>
      <c r="S252" s="9">
        <v>0.8958</v>
      </c>
      <c r="T252" s="11">
        <v>4.71</v>
      </c>
    </row>
    <row r="253">
      <c r="A253" s="1" t="s">
        <v>528</v>
      </c>
      <c r="B253" s="1" t="s">
        <v>529</v>
      </c>
      <c r="C253" s="1" t="s">
        <v>32</v>
      </c>
      <c r="D253" s="7">
        <v>45834.0</v>
      </c>
      <c r="E253" s="7">
        <v>45923.0</v>
      </c>
      <c r="F253" s="8">
        <v>13.0</v>
      </c>
      <c r="G253" s="8">
        <v>8.0</v>
      </c>
      <c r="H253" s="8">
        <v>9.1</v>
      </c>
      <c r="I253" s="9">
        <v>0.8238</v>
      </c>
      <c r="J253" s="8">
        <v>2.3</v>
      </c>
      <c r="K253" s="8">
        <v>3.5</v>
      </c>
      <c r="L253" s="4" t="s">
        <v>33</v>
      </c>
      <c r="M253" s="8">
        <v>1.0</v>
      </c>
      <c r="N253" s="8">
        <v>4.0</v>
      </c>
      <c r="O253" s="8">
        <v>15.0</v>
      </c>
      <c r="P253" s="9">
        <v>0.2337</v>
      </c>
      <c r="Q253" s="8">
        <v>173.0</v>
      </c>
      <c r="R253" s="10">
        <v>89.0</v>
      </c>
      <c r="S253" s="9">
        <v>0.6154</v>
      </c>
      <c r="T253" s="11">
        <v>3.38</v>
      </c>
    </row>
    <row r="254">
      <c r="A254" s="1" t="s">
        <v>530</v>
      </c>
      <c r="B254" s="1" t="s">
        <v>531</v>
      </c>
      <c r="C254" s="1" t="s">
        <v>32</v>
      </c>
      <c r="D254" s="7">
        <v>45837.0</v>
      </c>
      <c r="E254" s="7">
        <v>45898.0</v>
      </c>
      <c r="F254" s="8">
        <v>37.0</v>
      </c>
      <c r="G254" s="8">
        <v>21.0</v>
      </c>
      <c r="H254" s="8">
        <v>5.4</v>
      </c>
      <c r="I254" s="9">
        <v>0.6919</v>
      </c>
      <c r="J254" s="8">
        <v>2.9</v>
      </c>
      <c r="K254" s="8">
        <v>3.5</v>
      </c>
      <c r="L254" s="4" t="s">
        <v>33</v>
      </c>
      <c r="M254" s="8">
        <v>3.0</v>
      </c>
      <c r="N254" s="8">
        <v>3.0</v>
      </c>
      <c r="O254" s="8">
        <v>16.0</v>
      </c>
      <c r="P254" s="9">
        <v>0.2802</v>
      </c>
      <c r="Q254" s="8">
        <v>191.0</v>
      </c>
      <c r="R254" s="10">
        <v>61.0</v>
      </c>
      <c r="S254" s="9">
        <v>0.5676</v>
      </c>
      <c r="T254" s="11">
        <v>5.26</v>
      </c>
    </row>
    <row r="255">
      <c r="A255" s="1" t="s">
        <v>532</v>
      </c>
      <c r="B255" s="1" t="s">
        <v>533</v>
      </c>
      <c r="C255" s="1" t="s">
        <v>32</v>
      </c>
      <c r="D255" s="6">
        <v>45812.0</v>
      </c>
      <c r="E255" s="7">
        <v>45863.0</v>
      </c>
      <c r="F255" s="8">
        <v>40.0</v>
      </c>
      <c r="G255" s="8">
        <v>23.0</v>
      </c>
      <c r="H255" s="8">
        <v>9.9</v>
      </c>
      <c r="I255" s="9">
        <v>0.8235</v>
      </c>
      <c r="J255" s="8">
        <v>4.2</v>
      </c>
      <c r="K255" s="8">
        <v>5.9</v>
      </c>
      <c r="L255" s="4" t="s">
        <v>33</v>
      </c>
      <c r="M255" s="8">
        <v>2.0</v>
      </c>
      <c r="N255" s="8">
        <v>3.0</v>
      </c>
      <c r="O255" s="8">
        <v>15.0</v>
      </c>
      <c r="P255" s="9">
        <v>0.5334</v>
      </c>
      <c r="Q255" s="8">
        <v>164.0</v>
      </c>
      <c r="R255" s="10">
        <v>51.0</v>
      </c>
      <c r="S255" s="9">
        <v>0.575</v>
      </c>
      <c r="T255" s="11">
        <v>2.9</v>
      </c>
    </row>
    <row r="256">
      <c r="A256" s="1" t="s">
        <v>534</v>
      </c>
      <c r="B256" s="1" t="s">
        <v>535</v>
      </c>
      <c r="C256" s="1" t="s">
        <v>22</v>
      </c>
      <c r="D256" s="7">
        <v>45826.0</v>
      </c>
      <c r="E256" s="7">
        <v>45863.0</v>
      </c>
      <c r="F256" s="8">
        <v>22.0</v>
      </c>
      <c r="G256" s="8">
        <v>18.0</v>
      </c>
      <c r="H256" s="8">
        <v>6.0</v>
      </c>
      <c r="I256" s="9">
        <v>0.9483</v>
      </c>
      <c r="J256" s="8">
        <v>9.3</v>
      </c>
      <c r="K256" s="8">
        <v>8.9</v>
      </c>
      <c r="L256" s="4" t="s">
        <v>23</v>
      </c>
      <c r="M256" s="8">
        <v>3.0</v>
      </c>
      <c r="N256" s="8">
        <v>0.0</v>
      </c>
      <c r="O256" s="8">
        <v>47.0</v>
      </c>
      <c r="P256" s="9">
        <v>0.8836</v>
      </c>
      <c r="Q256" s="8">
        <v>142.0</v>
      </c>
      <c r="R256" s="10">
        <v>37.0</v>
      </c>
      <c r="S256" s="9">
        <v>0.8182</v>
      </c>
      <c r="T256" s="11">
        <v>6.82</v>
      </c>
    </row>
    <row r="257">
      <c r="A257" s="1" t="s">
        <v>536</v>
      </c>
      <c r="B257" s="1" t="s">
        <v>537</v>
      </c>
      <c r="C257" s="1" t="s">
        <v>32</v>
      </c>
      <c r="D257" s="7">
        <v>45821.0</v>
      </c>
      <c r="E257" s="7">
        <v>45889.0</v>
      </c>
      <c r="F257" s="8">
        <v>37.0</v>
      </c>
      <c r="G257" s="8">
        <v>20.0</v>
      </c>
      <c r="H257" s="8">
        <v>5.4</v>
      </c>
      <c r="I257" s="9">
        <v>0.7166</v>
      </c>
      <c r="J257" s="8">
        <v>3.3</v>
      </c>
      <c r="K257" s="8">
        <v>4.7</v>
      </c>
      <c r="L257" s="4" t="s">
        <v>33</v>
      </c>
      <c r="M257" s="8">
        <v>2.0</v>
      </c>
      <c r="N257" s="8">
        <v>3.0</v>
      </c>
      <c r="O257" s="8">
        <v>17.0</v>
      </c>
      <c r="P257" s="9">
        <v>0.2599</v>
      </c>
      <c r="Q257" s="8">
        <v>132.0</v>
      </c>
      <c r="R257" s="10">
        <v>68.0</v>
      </c>
      <c r="S257" s="9">
        <v>0.5405</v>
      </c>
      <c r="T257" s="11">
        <v>5.01</v>
      </c>
    </row>
    <row r="258">
      <c r="A258" s="1" t="s">
        <v>538</v>
      </c>
      <c r="B258" s="1" t="s">
        <v>539</v>
      </c>
      <c r="C258" s="1" t="s">
        <v>22</v>
      </c>
      <c r="D258" s="7">
        <v>45828.0</v>
      </c>
      <c r="E258" s="7">
        <v>45880.0</v>
      </c>
      <c r="F258" s="8">
        <v>26.0</v>
      </c>
      <c r="G258" s="8">
        <v>24.0</v>
      </c>
      <c r="H258" s="8">
        <v>9.2</v>
      </c>
      <c r="I258" s="9">
        <v>0.8698</v>
      </c>
      <c r="J258" s="8">
        <v>9.8</v>
      </c>
      <c r="K258" s="8">
        <v>10.0</v>
      </c>
      <c r="L258" s="4" t="s">
        <v>23</v>
      </c>
      <c r="M258" s="8">
        <v>3.0</v>
      </c>
      <c r="N258" s="8">
        <v>0.0</v>
      </c>
      <c r="O258" s="8">
        <v>50.0</v>
      </c>
      <c r="P258" s="9">
        <v>1.0</v>
      </c>
      <c r="Q258" s="8">
        <v>152.0</v>
      </c>
      <c r="R258" s="10">
        <v>52.0</v>
      </c>
      <c r="S258" s="9">
        <v>0.9231</v>
      </c>
      <c r="T258" s="11">
        <v>5.02</v>
      </c>
    </row>
    <row r="259">
      <c r="A259" s="1" t="s">
        <v>540</v>
      </c>
      <c r="B259" s="1" t="s">
        <v>541</v>
      </c>
      <c r="C259" s="1" t="s">
        <v>22</v>
      </c>
      <c r="D259" s="7">
        <v>45833.0</v>
      </c>
      <c r="E259" s="7">
        <v>45919.0</v>
      </c>
      <c r="F259" s="8">
        <v>44.0</v>
      </c>
      <c r="G259" s="8">
        <v>36.0</v>
      </c>
      <c r="H259" s="8">
        <v>4.0</v>
      </c>
      <c r="I259" s="9">
        <v>0.9412</v>
      </c>
      <c r="J259" s="8">
        <v>9.3</v>
      </c>
      <c r="K259" s="8">
        <v>10.0</v>
      </c>
      <c r="L259" s="4" t="s">
        <v>23</v>
      </c>
      <c r="M259" s="8">
        <v>5.0</v>
      </c>
      <c r="N259" s="8">
        <v>1.0</v>
      </c>
      <c r="O259" s="8">
        <v>38.0</v>
      </c>
      <c r="P259" s="9">
        <v>0.9204</v>
      </c>
      <c r="Q259" s="8">
        <v>181.0</v>
      </c>
      <c r="R259" s="10">
        <v>86.0</v>
      </c>
      <c r="S259" s="9">
        <v>0.8182</v>
      </c>
      <c r="T259" s="11">
        <v>10.0</v>
      </c>
    </row>
    <row r="260">
      <c r="A260" s="1" t="s">
        <v>542</v>
      </c>
      <c r="B260" s="1" t="s">
        <v>543</v>
      </c>
      <c r="C260" s="1" t="s">
        <v>28</v>
      </c>
      <c r="D260" s="7">
        <v>45827.0</v>
      </c>
      <c r="E260" s="6">
        <v>45901.0</v>
      </c>
      <c r="F260" s="8">
        <v>26.0</v>
      </c>
      <c r="G260" s="8">
        <v>19.0</v>
      </c>
      <c r="H260" s="8">
        <v>8.7</v>
      </c>
      <c r="I260" s="9">
        <v>0.8782</v>
      </c>
      <c r="J260" s="8">
        <v>5.5</v>
      </c>
      <c r="K260" s="8">
        <v>4.5</v>
      </c>
      <c r="L260" s="4" t="s">
        <v>29</v>
      </c>
      <c r="M260" s="8">
        <v>2.0</v>
      </c>
      <c r="N260" s="8">
        <v>3.0</v>
      </c>
      <c r="O260" s="8">
        <v>30.0</v>
      </c>
      <c r="P260" s="9">
        <v>0.4971</v>
      </c>
      <c r="Q260" s="8">
        <v>191.0</v>
      </c>
      <c r="R260" s="10">
        <v>74.0</v>
      </c>
      <c r="S260" s="9">
        <v>0.7308</v>
      </c>
      <c r="T260" s="11">
        <v>4.2</v>
      </c>
    </row>
    <row r="261">
      <c r="A261" s="1" t="s">
        <v>544</v>
      </c>
      <c r="B261" s="1" t="s">
        <v>545</v>
      </c>
      <c r="C261" s="1" t="s">
        <v>28</v>
      </c>
      <c r="D261" s="7">
        <v>45832.0</v>
      </c>
      <c r="E261" s="7">
        <v>45880.0</v>
      </c>
      <c r="F261" s="8">
        <v>30.0</v>
      </c>
      <c r="G261" s="8">
        <v>25.0</v>
      </c>
      <c r="H261" s="8">
        <v>9.4</v>
      </c>
      <c r="I261" s="9">
        <v>0.9101</v>
      </c>
      <c r="J261" s="8">
        <v>6.7</v>
      </c>
      <c r="K261" s="8">
        <v>7.2</v>
      </c>
      <c r="L261" s="4" t="s">
        <v>29</v>
      </c>
      <c r="M261" s="8">
        <v>3.0</v>
      </c>
      <c r="N261" s="8">
        <v>1.0</v>
      </c>
      <c r="O261" s="8">
        <v>22.0</v>
      </c>
      <c r="P261" s="9">
        <v>0.5969</v>
      </c>
      <c r="Q261" s="8">
        <v>147.0</v>
      </c>
      <c r="R261" s="10">
        <v>48.0</v>
      </c>
      <c r="S261" s="9">
        <v>0.8333</v>
      </c>
      <c r="T261" s="11">
        <v>4.43</v>
      </c>
    </row>
    <row r="262">
      <c r="A262" s="1" t="s">
        <v>546</v>
      </c>
      <c r="B262" s="1" t="s">
        <v>547</v>
      </c>
      <c r="C262" s="1" t="s">
        <v>22</v>
      </c>
      <c r="D262" s="7">
        <v>45836.0</v>
      </c>
      <c r="E262" s="7">
        <v>45924.0</v>
      </c>
      <c r="F262" s="8">
        <v>45.0</v>
      </c>
      <c r="G262" s="8">
        <v>39.0</v>
      </c>
      <c r="H262" s="8">
        <v>6.6</v>
      </c>
      <c r="I262" s="9">
        <v>0.9392</v>
      </c>
      <c r="J262" s="8">
        <v>9.1</v>
      </c>
      <c r="K262" s="8">
        <v>8.7</v>
      </c>
      <c r="L262" s="4" t="s">
        <v>23</v>
      </c>
      <c r="M262" s="8">
        <v>4.0</v>
      </c>
      <c r="N262" s="8">
        <v>2.0</v>
      </c>
      <c r="O262" s="8">
        <v>34.0</v>
      </c>
      <c r="P262" s="9">
        <v>0.8985</v>
      </c>
      <c r="Q262" s="8">
        <v>161.0</v>
      </c>
      <c r="R262" s="10">
        <v>88.0</v>
      </c>
      <c r="S262" s="9">
        <v>0.8667</v>
      </c>
      <c r="T262" s="11">
        <v>6.57</v>
      </c>
    </row>
    <row r="263">
      <c r="A263" s="1" t="s">
        <v>548</v>
      </c>
      <c r="B263" s="1" t="s">
        <v>549</v>
      </c>
      <c r="C263" s="1" t="s">
        <v>28</v>
      </c>
      <c r="D263" s="7">
        <v>45832.0</v>
      </c>
      <c r="E263" s="7">
        <v>45919.0</v>
      </c>
      <c r="F263" s="8">
        <v>36.0</v>
      </c>
      <c r="G263" s="8">
        <v>18.0</v>
      </c>
      <c r="H263" s="8">
        <v>9.7</v>
      </c>
      <c r="I263" s="9">
        <v>0.7374</v>
      </c>
      <c r="J263" s="8">
        <v>4.5</v>
      </c>
      <c r="K263" s="8">
        <v>4.6</v>
      </c>
      <c r="L263" s="4" t="s">
        <v>29</v>
      </c>
      <c r="M263" s="8">
        <v>2.0</v>
      </c>
      <c r="N263" s="8">
        <v>4.0</v>
      </c>
      <c r="O263" s="8">
        <v>27.0</v>
      </c>
      <c r="P263" s="9">
        <v>0.3004</v>
      </c>
      <c r="Q263" s="8">
        <v>192.0</v>
      </c>
      <c r="R263" s="10">
        <v>87.0</v>
      </c>
      <c r="S263" s="9">
        <v>0.5</v>
      </c>
      <c r="T263" s="11">
        <v>2.58</v>
      </c>
    </row>
    <row r="264">
      <c r="A264" s="1" t="s">
        <v>550</v>
      </c>
      <c r="B264" s="1" t="s">
        <v>551</v>
      </c>
      <c r="C264" s="1" t="s">
        <v>22</v>
      </c>
      <c r="D264" s="7">
        <v>45826.0</v>
      </c>
      <c r="E264" s="6">
        <v>45878.0</v>
      </c>
      <c r="F264" s="8">
        <v>25.0</v>
      </c>
      <c r="G264" s="8">
        <v>18.0</v>
      </c>
      <c r="H264" s="8">
        <v>8.8</v>
      </c>
      <c r="I264" s="9">
        <v>0.9005</v>
      </c>
      <c r="J264" s="8">
        <v>8.7</v>
      </c>
      <c r="K264" s="8">
        <v>9.3</v>
      </c>
      <c r="L264" s="4" t="s">
        <v>23</v>
      </c>
      <c r="M264" s="8">
        <v>3.0</v>
      </c>
      <c r="N264" s="8">
        <v>3.0</v>
      </c>
      <c r="O264" s="8">
        <v>37.0</v>
      </c>
      <c r="P264" s="9">
        <v>0.8216</v>
      </c>
      <c r="Q264" s="8">
        <v>123.0</v>
      </c>
      <c r="R264" s="10">
        <v>52.0</v>
      </c>
      <c r="S264" s="9">
        <v>0.72</v>
      </c>
      <c r="T264" s="11">
        <v>4.09</v>
      </c>
    </row>
    <row r="265">
      <c r="A265" s="1" t="s">
        <v>552</v>
      </c>
      <c r="B265" s="1" t="s">
        <v>553</v>
      </c>
      <c r="C265" s="1" t="s">
        <v>22</v>
      </c>
      <c r="D265" s="7">
        <v>45838.0</v>
      </c>
      <c r="E265" s="7">
        <v>45888.0</v>
      </c>
      <c r="F265" s="8">
        <v>34.0</v>
      </c>
      <c r="G265" s="8">
        <v>23.0</v>
      </c>
      <c r="H265" s="8">
        <v>6.4</v>
      </c>
      <c r="I265" s="9">
        <v>0.7256</v>
      </c>
      <c r="J265" s="8">
        <v>7.9</v>
      </c>
      <c r="K265" s="8">
        <v>8.1</v>
      </c>
      <c r="L265" s="4" t="s">
        <v>23</v>
      </c>
      <c r="M265" s="8">
        <v>2.0</v>
      </c>
      <c r="N265" s="8">
        <v>0.0</v>
      </c>
      <c r="O265" s="8">
        <v>45.0</v>
      </c>
      <c r="P265" s="9">
        <v>0.8028</v>
      </c>
      <c r="Q265" s="8">
        <v>157.0</v>
      </c>
      <c r="R265" s="10">
        <v>50.0</v>
      </c>
      <c r="S265" s="9">
        <v>0.6765</v>
      </c>
      <c r="T265" s="11">
        <v>5.28</v>
      </c>
    </row>
    <row r="266">
      <c r="A266" s="1" t="s">
        <v>554</v>
      </c>
      <c r="B266" s="1" t="s">
        <v>555</v>
      </c>
      <c r="C266" s="1" t="s">
        <v>28</v>
      </c>
      <c r="D266" s="7">
        <v>45836.0</v>
      </c>
      <c r="E266" s="7">
        <v>45886.0</v>
      </c>
      <c r="F266" s="8">
        <v>14.0</v>
      </c>
      <c r="G266" s="8">
        <v>10.0</v>
      </c>
      <c r="H266" s="8">
        <v>3.0</v>
      </c>
      <c r="I266" s="9">
        <v>0.8729</v>
      </c>
      <c r="J266" s="8">
        <v>6.5</v>
      </c>
      <c r="K266" s="8">
        <v>6.5</v>
      </c>
      <c r="L266" s="4" t="s">
        <v>29</v>
      </c>
      <c r="M266" s="8">
        <v>2.0</v>
      </c>
      <c r="N266" s="8">
        <v>2.0</v>
      </c>
      <c r="O266" s="8">
        <v>33.0</v>
      </c>
      <c r="P266" s="9">
        <v>0.6372</v>
      </c>
      <c r="Q266" s="8">
        <v>142.0</v>
      </c>
      <c r="R266" s="10">
        <v>50.0</v>
      </c>
      <c r="S266" s="9">
        <v>0.7143</v>
      </c>
      <c r="T266" s="11">
        <v>10.0</v>
      </c>
    </row>
    <row r="267">
      <c r="A267" s="1" t="s">
        <v>556</v>
      </c>
      <c r="B267" s="1" t="s">
        <v>557</v>
      </c>
      <c r="C267" s="1" t="s">
        <v>28</v>
      </c>
      <c r="D267" s="7">
        <v>45835.0</v>
      </c>
      <c r="E267" s="7">
        <v>45920.0</v>
      </c>
      <c r="F267" s="8">
        <v>17.0</v>
      </c>
      <c r="G267" s="8">
        <v>14.0</v>
      </c>
      <c r="H267" s="8">
        <v>1.9</v>
      </c>
      <c r="I267" s="9">
        <v>0.8799</v>
      </c>
      <c r="J267" s="8">
        <v>6.9</v>
      </c>
      <c r="K267" s="8">
        <v>6.1</v>
      </c>
      <c r="L267" s="4" t="s">
        <v>29</v>
      </c>
      <c r="M267" s="8">
        <v>1.0</v>
      </c>
      <c r="N267" s="8">
        <v>1.0</v>
      </c>
      <c r="O267" s="8">
        <v>27.0</v>
      </c>
      <c r="P267" s="9">
        <v>0.8106</v>
      </c>
      <c r="Q267" s="8">
        <v>188.0</v>
      </c>
      <c r="R267" s="10">
        <v>85.0</v>
      </c>
      <c r="S267" s="9">
        <v>0.8235</v>
      </c>
      <c r="T267" s="11">
        <v>10.0</v>
      </c>
    </row>
    <row r="268">
      <c r="A268" s="1" t="s">
        <v>558</v>
      </c>
      <c r="B268" s="1" t="s">
        <v>559</v>
      </c>
      <c r="C268" s="1" t="s">
        <v>32</v>
      </c>
      <c r="D268" s="6">
        <v>45810.0</v>
      </c>
      <c r="E268" s="7">
        <v>45886.0</v>
      </c>
      <c r="F268" s="8">
        <v>17.0</v>
      </c>
      <c r="G268" s="8">
        <v>8.0</v>
      </c>
      <c r="H268" s="8">
        <v>8.4</v>
      </c>
      <c r="I268" s="9">
        <v>0.6269</v>
      </c>
      <c r="J268" s="8">
        <v>2.2</v>
      </c>
      <c r="K268" s="8">
        <v>2.2</v>
      </c>
      <c r="L268" s="4" t="s">
        <v>33</v>
      </c>
      <c r="M268" s="8">
        <v>2.0</v>
      </c>
      <c r="N268" s="8">
        <v>6.0</v>
      </c>
      <c r="O268" s="8">
        <v>25.0</v>
      </c>
      <c r="P268" s="9">
        <v>0.2425</v>
      </c>
      <c r="Q268" s="8">
        <v>150.0</v>
      </c>
      <c r="R268" s="10">
        <v>76.0</v>
      </c>
      <c r="S268" s="9">
        <v>0.4706</v>
      </c>
      <c r="T268" s="11">
        <v>2.8</v>
      </c>
    </row>
    <row r="269">
      <c r="A269" s="1" t="s">
        <v>560</v>
      </c>
      <c r="B269" s="1" t="s">
        <v>561</v>
      </c>
      <c r="C269" s="1" t="s">
        <v>22</v>
      </c>
      <c r="D269" s="7">
        <v>45830.0</v>
      </c>
      <c r="E269" s="6">
        <v>45876.0</v>
      </c>
      <c r="F269" s="8">
        <v>46.0</v>
      </c>
      <c r="G269" s="8">
        <v>23.0</v>
      </c>
      <c r="H269" s="8">
        <v>6.2</v>
      </c>
      <c r="I269" s="9">
        <v>0.6211</v>
      </c>
      <c r="J269" s="8">
        <v>6.6</v>
      </c>
      <c r="K269" s="8">
        <v>7.4</v>
      </c>
      <c r="L269" s="4" t="s">
        <v>23</v>
      </c>
      <c r="M269" s="8">
        <v>3.0</v>
      </c>
      <c r="N269" s="8">
        <v>1.0</v>
      </c>
      <c r="O269" s="8">
        <v>41.0</v>
      </c>
      <c r="P269" s="9">
        <v>0.6364</v>
      </c>
      <c r="Q269" s="8">
        <v>199.0</v>
      </c>
      <c r="R269" s="10">
        <v>46.0</v>
      </c>
      <c r="S269" s="9">
        <v>0.5</v>
      </c>
      <c r="T269" s="11">
        <v>4.03</v>
      </c>
    </row>
    <row r="270">
      <c r="A270" s="1" t="s">
        <v>562</v>
      </c>
      <c r="B270" s="1" t="s">
        <v>563</v>
      </c>
      <c r="C270" s="1" t="s">
        <v>22</v>
      </c>
      <c r="D270" s="7">
        <v>45823.0</v>
      </c>
      <c r="E270" s="7">
        <v>45866.0</v>
      </c>
      <c r="F270" s="8">
        <v>35.0</v>
      </c>
      <c r="G270" s="8">
        <v>25.0</v>
      </c>
      <c r="H270" s="8">
        <v>4.2</v>
      </c>
      <c r="I270" s="9">
        <v>0.745</v>
      </c>
      <c r="J270" s="8">
        <v>7.9</v>
      </c>
      <c r="K270" s="8">
        <v>8.0</v>
      </c>
      <c r="L270" s="4" t="s">
        <v>23</v>
      </c>
      <c r="M270" s="8">
        <v>2.0</v>
      </c>
      <c r="N270" s="8">
        <v>0.0</v>
      </c>
      <c r="O270" s="8">
        <v>44.0</v>
      </c>
      <c r="P270" s="9">
        <v>0.8318</v>
      </c>
      <c r="Q270" s="8">
        <v>134.0</v>
      </c>
      <c r="R270" s="10">
        <v>43.0</v>
      </c>
      <c r="S270" s="9">
        <v>0.7143</v>
      </c>
      <c r="T270" s="11">
        <v>8.5</v>
      </c>
    </row>
    <row r="271">
      <c r="A271" s="1" t="s">
        <v>564</v>
      </c>
      <c r="B271" s="1" t="s">
        <v>565</v>
      </c>
      <c r="C271" s="1" t="s">
        <v>28</v>
      </c>
      <c r="D271" s="7">
        <v>45828.0</v>
      </c>
      <c r="E271" s="7">
        <v>45883.0</v>
      </c>
      <c r="F271" s="8">
        <v>15.0</v>
      </c>
      <c r="G271" s="8">
        <v>11.0</v>
      </c>
      <c r="H271" s="8">
        <v>4.8</v>
      </c>
      <c r="I271" s="9">
        <v>0.9294</v>
      </c>
      <c r="J271" s="8">
        <v>7.0</v>
      </c>
      <c r="K271" s="8">
        <v>7.4</v>
      </c>
      <c r="L271" s="4" t="s">
        <v>29</v>
      </c>
      <c r="M271" s="8">
        <v>1.0</v>
      </c>
      <c r="N271" s="8">
        <v>2.0</v>
      </c>
      <c r="O271" s="8">
        <v>32.0</v>
      </c>
      <c r="P271" s="9">
        <v>0.7074</v>
      </c>
      <c r="Q271" s="8">
        <v>189.0</v>
      </c>
      <c r="R271" s="10">
        <v>55.0</v>
      </c>
      <c r="S271" s="9">
        <v>0.7333</v>
      </c>
      <c r="T271" s="11">
        <v>7.64</v>
      </c>
    </row>
    <row r="272">
      <c r="A272" s="1" t="s">
        <v>566</v>
      </c>
      <c r="B272" s="1" t="s">
        <v>567</v>
      </c>
      <c r="C272" s="1" t="s">
        <v>22</v>
      </c>
      <c r="D272" s="6">
        <v>45811.0</v>
      </c>
      <c r="E272" s="6">
        <v>45876.0</v>
      </c>
      <c r="F272" s="8">
        <v>24.0</v>
      </c>
      <c r="G272" s="8">
        <v>18.0</v>
      </c>
      <c r="H272" s="8">
        <v>7.0</v>
      </c>
      <c r="I272" s="9">
        <v>0.8617</v>
      </c>
      <c r="J272" s="8">
        <v>8.5</v>
      </c>
      <c r="K272" s="8">
        <v>8.3</v>
      </c>
      <c r="L272" s="4" t="s">
        <v>23</v>
      </c>
      <c r="M272" s="8">
        <v>2.0</v>
      </c>
      <c r="N272" s="8">
        <v>3.0</v>
      </c>
      <c r="O272" s="8">
        <v>47.0</v>
      </c>
      <c r="P272" s="9">
        <v>0.8185</v>
      </c>
      <c r="Q272" s="8">
        <v>167.0</v>
      </c>
      <c r="R272" s="10">
        <v>65.0</v>
      </c>
      <c r="S272" s="9">
        <v>0.75</v>
      </c>
      <c r="T272" s="11">
        <v>5.36</v>
      </c>
    </row>
    <row r="273">
      <c r="A273" s="1" t="s">
        <v>568</v>
      </c>
      <c r="B273" s="1" t="s">
        <v>569</v>
      </c>
      <c r="C273" s="1" t="s">
        <v>28</v>
      </c>
      <c r="D273" s="7">
        <v>45821.0</v>
      </c>
      <c r="E273" s="7">
        <v>45854.0</v>
      </c>
      <c r="F273" s="8">
        <v>46.0</v>
      </c>
      <c r="G273" s="8">
        <v>23.0</v>
      </c>
      <c r="H273" s="8">
        <v>2.6</v>
      </c>
      <c r="I273" s="9">
        <v>0.6187</v>
      </c>
      <c r="J273" s="8">
        <v>3.7</v>
      </c>
      <c r="K273" s="8">
        <v>3.9</v>
      </c>
      <c r="L273" s="4" t="s">
        <v>29</v>
      </c>
      <c r="M273" s="8">
        <v>3.0</v>
      </c>
      <c r="N273" s="8">
        <v>5.0</v>
      </c>
      <c r="O273" s="8">
        <v>36.0</v>
      </c>
      <c r="P273" s="9">
        <v>0.3534</v>
      </c>
      <c r="Q273" s="8">
        <v>147.0</v>
      </c>
      <c r="R273" s="10">
        <v>33.0</v>
      </c>
      <c r="S273" s="9">
        <v>0.5</v>
      </c>
      <c r="T273" s="11">
        <v>9.62</v>
      </c>
    </row>
    <row r="274">
      <c r="A274" s="1" t="s">
        <v>570</v>
      </c>
      <c r="B274" s="1" t="s">
        <v>571</v>
      </c>
      <c r="C274" s="1" t="s">
        <v>22</v>
      </c>
      <c r="D274" s="7">
        <v>45833.0</v>
      </c>
      <c r="E274" s="7">
        <v>45923.0</v>
      </c>
      <c r="F274" s="8">
        <v>33.0</v>
      </c>
      <c r="G274" s="8">
        <v>25.0</v>
      </c>
      <c r="H274" s="8">
        <v>1.5</v>
      </c>
      <c r="I274" s="9">
        <v>0.8073</v>
      </c>
      <c r="J274" s="8">
        <v>7.3</v>
      </c>
      <c r="K274" s="8">
        <v>5.7</v>
      </c>
      <c r="L274" s="4" t="s">
        <v>23</v>
      </c>
      <c r="M274" s="8">
        <v>4.0</v>
      </c>
      <c r="N274" s="8">
        <v>1.0</v>
      </c>
      <c r="O274" s="8">
        <v>31.0</v>
      </c>
      <c r="P274" s="9">
        <v>0.6968</v>
      </c>
      <c r="Q274" s="8">
        <v>149.0</v>
      </c>
      <c r="R274" s="10">
        <v>90.0</v>
      </c>
      <c r="S274" s="9">
        <v>0.7576</v>
      </c>
      <c r="T274" s="11">
        <v>10.0</v>
      </c>
    </row>
    <row r="275">
      <c r="A275" s="1" t="s">
        <v>572</v>
      </c>
      <c r="B275" s="1" t="s">
        <v>573</v>
      </c>
      <c r="C275" s="1" t="s">
        <v>28</v>
      </c>
      <c r="D275" s="7">
        <v>45818.0</v>
      </c>
      <c r="E275" s="7">
        <v>45853.0</v>
      </c>
      <c r="F275" s="8">
        <v>38.0</v>
      </c>
      <c r="G275" s="8">
        <v>30.0</v>
      </c>
      <c r="H275" s="8">
        <v>9.0</v>
      </c>
      <c r="I275" s="9">
        <v>0.901</v>
      </c>
      <c r="J275" s="8">
        <v>6.5</v>
      </c>
      <c r="K275" s="8">
        <v>6.7</v>
      </c>
      <c r="L275" s="4" t="s">
        <v>29</v>
      </c>
      <c r="M275" s="8">
        <v>4.0</v>
      </c>
      <c r="N275" s="8">
        <v>0.0</v>
      </c>
      <c r="O275" s="8">
        <v>37.0</v>
      </c>
      <c r="P275" s="9">
        <v>0.6314</v>
      </c>
      <c r="Q275" s="8">
        <v>134.0</v>
      </c>
      <c r="R275" s="10">
        <v>35.0</v>
      </c>
      <c r="S275" s="9">
        <v>0.7895</v>
      </c>
      <c r="T275" s="11">
        <v>4.39</v>
      </c>
    </row>
    <row r="276">
      <c r="A276" s="1" t="s">
        <v>574</v>
      </c>
      <c r="B276" s="1" t="s">
        <v>575</v>
      </c>
      <c r="C276" s="1" t="s">
        <v>22</v>
      </c>
      <c r="D276" s="6">
        <v>45812.0</v>
      </c>
      <c r="E276" s="6">
        <v>45873.0</v>
      </c>
      <c r="F276" s="8">
        <v>29.0</v>
      </c>
      <c r="G276" s="8">
        <v>22.0</v>
      </c>
      <c r="H276" s="8">
        <v>6.0</v>
      </c>
      <c r="I276" s="9">
        <v>0.7936</v>
      </c>
      <c r="J276" s="8">
        <v>7.9</v>
      </c>
      <c r="K276" s="8">
        <v>8.3</v>
      </c>
      <c r="L276" s="4" t="s">
        <v>23</v>
      </c>
      <c r="M276" s="8">
        <v>4.0</v>
      </c>
      <c r="N276" s="8">
        <v>0.0</v>
      </c>
      <c r="O276" s="8">
        <v>38.0</v>
      </c>
      <c r="P276" s="9">
        <v>0.8315</v>
      </c>
      <c r="Q276" s="8">
        <v>187.0</v>
      </c>
      <c r="R276" s="10">
        <v>61.0</v>
      </c>
      <c r="S276" s="9">
        <v>0.7586</v>
      </c>
      <c r="T276" s="11">
        <v>6.32</v>
      </c>
    </row>
    <row r="277">
      <c r="A277" s="1" t="s">
        <v>576</v>
      </c>
      <c r="B277" s="1" t="s">
        <v>577</v>
      </c>
      <c r="C277" s="1" t="s">
        <v>28</v>
      </c>
      <c r="D277" s="7">
        <v>45825.0</v>
      </c>
      <c r="E277" s="6">
        <v>45872.0</v>
      </c>
      <c r="F277" s="8">
        <v>20.0</v>
      </c>
      <c r="G277" s="8">
        <v>12.0</v>
      </c>
      <c r="H277" s="8">
        <v>10.0</v>
      </c>
      <c r="I277" s="9">
        <v>0.6936</v>
      </c>
      <c r="J277" s="8">
        <v>4.9</v>
      </c>
      <c r="K277" s="8">
        <v>4.8</v>
      </c>
      <c r="L277" s="4" t="s">
        <v>29</v>
      </c>
      <c r="M277" s="8">
        <v>2.0</v>
      </c>
      <c r="N277" s="8">
        <v>4.0</v>
      </c>
      <c r="O277" s="8">
        <v>38.0</v>
      </c>
      <c r="P277" s="9">
        <v>0.4218</v>
      </c>
      <c r="Q277" s="8">
        <v>192.0</v>
      </c>
      <c r="R277" s="10">
        <v>47.0</v>
      </c>
      <c r="S277" s="9">
        <v>0.6</v>
      </c>
      <c r="T277" s="11">
        <v>3.0</v>
      </c>
    </row>
    <row r="278">
      <c r="A278" s="1" t="s">
        <v>578</v>
      </c>
      <c r="B278" s="1" t="s">
        <v>579</v>
      </c>
      <c r="C278" s="1" t="s">
        <v>22</v>
      </c>
      <c r="D278" s="7">
        <v>45818.0</v>
      </c>
      <c r="E278" s="7">
        <v>45861.0</v>
      </c>
      <c r="F278" s="8">
        <v>32.0</v>
      </c>
      <c r="G278" s="8">
        <v>16.0</v>
      </c>
      <c r="H278" s="8">
        <v>2.5</v>
      </c>
      <c r="I278" s="9">
        <v>0.6725</v>
      </c>
      <c r="J278" s="8">
        <v>6.7</v>
      </c>
      <c r="K278" s="8">
        <v>7.7</v>
      </c>
      <c r="L278" s="4" t="s">
        <v>23</v>
      </c>
      <c r="M278" s="8">
        <v>1.0</v>
      </c>
      <c r="N278" s="8">
        <v>2.0</v>
      </c>
      <c r="O278" s="8">
        <v>48.0</v>
      </c>
      <c r="P278" s="9">
        <v>0.6462</v>
      </c>
      <c r="Q278" s="8">
        <v>177.0</v>
      </c>
      <c r="R278" s="10">
        <v>43.0</v>
      </c>
      <c r="S278" s="9">
        <v>0.5</v>
      </c>
      <c r="T278" s="11">
        <v>10.0</v>
      </c>
    </row>
    <row r="279">
      <c r="A279" s="1" t="s">
        <v>580</v>
      </c>
      <c r="B279" s="1" t="s">
        <v>581</v>
      </c>
      <c r="C279" s="1" t="s">
        <v>22</v>
      </c>
      <c r="D279" s="7">
        <v>45833.0</v>
      </c>
      <c r="E279" s="6">
        <v>45874.0</v>
      </c>
      <c r="F279" s="8">
        <v>44.0</v>
      </c>
      <c r="G279" s="8">
        <v>28.0</v>
      </c>
      <c r="H279" s="8">
        <v>3.1</v>
      </c>
      <c r="I279" s="9">
        <v>0.7362</v>
      </c>
      <c r="J279" s="8">
        <v>7.6</v>
      </c>
      <c r="K279" s="8">
        <v>7.9</v>
      </c>
      <c r="L279" s="4" t="s">
        <v>23</v>
      </c>
      <c r="M279" s="8">
        <v>4.0</v>
      </c>
      <c r="N279" s="8">
        <v>0.0</v>
      </c>
      <c r="O279" s="8">
        <v>38.0</v>
      </c>
      <c r="P279" s="9">
        <v>0.7421</v>
      </c>
      <c r="Q279" s="8">
        <v>173.0</v>
      </c>
      <c r="R279" s="10">
        <v>41.0</v>
      </c>
      <c r="S279" s="9">
        <v>0.6364</v>
      </c>
      <c r="T279" s="11">
        <v>10.0</v>
      </c>
    </row>
    <row r="280">
      <c r="A280" s="1" t="s">
        <v>582</v>
      </c>
      <c r="B280" s="1" t="s">
        <v>583</v>
      </c>
      <c r="C280" s="1" t="s">
        <v>32</v>
      </c>
      <c r="D280" s="6">
        <v>45810.0</v>
      </c>
      <c r="E280" s="7">
        <v>45893.0</v>
      </c>
      <c r="F280" s="8">
        <v>35.0</v>
      </c>
      <c r="G280" s="8">
        <v>18.0</v>
      </c>
      <c r="H280" s="8">
        <v>7.3</v>
      </c>
      <c r="I280" s="9">
        <v>0.6855</v>
      </c>
      <c r="J280" s="8">
        <v>3.2</v>
      </c>
      <c r="K280" s="8">
        <v>3.9</v>
      </c>
      <c r="L280" s="4" t="s">
        <v>33</v>
      </c>
      <c r="M280" s="8">
        <v>2.0</v>
      </c>
      <c r="N280" s="8">
        <v>2.0</v>
      </c>
      <c r="O280" s="8">
        <v>25.0</v>
      </c>
      <c r="P280" s="9">
        <v>0.2217</v>
      </c>
      <c r="Q280" s="8">
        <v>178.0</v>
      </c>
      <c r="R280" s="10">
        <v>83.0</v>
      </c>
      <c r="S280" s="9">
        <v>0.5143</v>
      </c>
      <c r="T280" s="11">
        <v>3.52</v>
      </c>
    </row>
    <row r="281">
      <c r="A281" s="1" t="s">
        <v>584</v>
      </c>
      <c r="B281" s="1" t="s">
        <v>585</v>
      </c>
      <c r="C281" s="1" t="s">
        <v>28</v>
      </c>
      <c r="D281" s="7">
        <v>45829.0</v>
      </c>
      <c r="E281" s="7">
        <v>45894.0</v>
      </c>
      <c r="F281" s="8">
        <v>49.0</v>
      </c>
      <c r="G281" s="8">
        <v>34.0</v>
      </c>
      <c r="H281" s="8">
        <v>2.5</v>
      </c>
      <c r="I281" s="9">
        <v>0.8141</v>
      </c>
      <c r="J281" s="8">
        <v>5.8</v>
      </c>
      <c r="K281" s="8">
        <v>5.3</v>
      </c>
      <c r="L281" s="4" t="s">
        <v>29</v>
      </c>
      <c r="M281" s="8">
        <v>3.0</v>
      </c>
      <c r="N281" s="8">
        <v>2.0</v>
      </c>
      <c r="O281" s="8">
        <v>34.0</v>
      </c>
      <c r="P281" s="9">
        <v>0.5266</v>
      </c>
      <c r="Q281" s="8">
        <v>199.0</v>
      </c>
      <c r="R281" s="10">
        <v>65.0</v>
      </c>
      <c r="S281" s="9">
        <v>0.6939</v>
      </c>
      <c r="T281" s="11">
        <v>10.0</v>
      </c>
    </row>
    <row r="282">
      <c r="A282" s="1" t="s">
        <v>586</v>
      </c>
      <c r="B282" s="1" t="s">
        <v>587</v>
      </c>
      <c r="C282" s="1" t="s">
        <v>28</v>
      </c>
      <c r="D282" s="6">
        <v>45812.0</v>
      </c>
      <c r="E282" s="7">
        <v>45856.0</v>
      </c>
      <c r="F282" s="8">
        <v>25.0</v>
      </c>
      <c r="G282" s="8">
        <v>16.0</v>
      </c>
      <c r="H282" s="8">
        <v>8.8</v>
      </c>
      <c r="I282" s="9">
        <v>0.6773</v>
      </c>
      <c r="J282" s="8">
        <v>4.8</v>
      </c>
      <c r="K282" s="8">
        <v>5.4</v>
      </c>
      <c r="L282" s="4" t="s">
        <v>29</v>
      </c>
      <c r="M282" s="8">
        <v>3.0</v>
      </c>
      <c r="N282" s="8">
        <v>1.0</v>
      </c>
      <c r="O282" s="8">
        <v>34.0</v>
      </c>
      <c r="P282" s="9">
        <v>0.5258</v>
      </c>
      <c r="Q282" s="8">
        <v>165.0</v>
      </c>
      <c r="R282" s="10">
        <v>44.0</v>
      </c>
      <c r="S282" s="9">
        <v>0.64</v>
      </c>
      <c r="T282" s="11">
        <v>3.64</v>
      </c>
    </row>
    <row r="283">
      <c r="A283" s="1" t="s">
        <v>588</v>
      </c>
      <c r="B283" s="1" t="s">
        <v>589</v>
      </c>
      <c r="C283" s="1" t="s">
        <v>28</v>
      </c>
      <c r="D283" s="6">
        <v>45812.0</v>
      </c>
      <c r="E283" s="7">
        <v>45895.0</v>
      </c>
      <c r="F283" s="8">
        <v>29.0</v>
      </c>
      <c r="G283" s="8">
        <v>18.0</v>
      </c>
      <c r="H283" s="8">
        <v>4.7</v>
      </c>
      <c r="I283" s="9">
        <v>0.8211</v>
      </c>
      <c r="J283" s="8">
        <v>6.3</v>
      </c>
      <c r="K283" s="8">
        <v>6.2</v>
      </c>
      <c r="L283" s="4" t="s">
        <v>29</v>
      </c>
      <c r="M283" s="8">
        <v>2.0</v>
      </c>
      <c r="N283" s="8">
        <v>3.0</v>
      </c>
      <c r="O283" s="8">
        <v>32.0</v>
      </c>
      <c r="P283" s="9">
        <v>0.6255</v>
      </c>
      <c r="Q283" s="8">
        <v>164.0</v>
      </c>
      <c r="R283" s="10">
        <v>83.0</v>
      </c>
      <c r="S283" s="9">
        <v>0.6207</v>
      </c>
      <c r="T283" s="11">
        <v>6.6</v>
      </c>
    </row>
    <row r="284">
      <c r="A284" s="1" t="s">
        <v>590</v>
      </c>
      <c r="B284" s="1" t="s">
        <v>591</v>
      </c>
      <c r="C284" s="1" t="s">
        <v>32</v>
      </c>
      <c r="D284" s="7">
        <v>45823.0</v>
      </c>
      <c r="E284" s="6">
        <v>45904.0</v>
      </c>
      <c r="F284" s="8">
        <v>31.0</v>
      </c>
      <c r="G284" s="8">
        <v>17.0</v>
      </c>
      <c r="H284" s="8">
        <v>2.1</v>
      </c>
      <c r="I284" s="9">
        <v>0.735</v>
      </c>
      <c r="J284" s="8">
        <v>2.5</v>
      </c>
      <c r="K284" s="8">
        <v>2.7</v>
      </c>
      <c r="L284" s="4" t="s">
        <v>33</v>
      </c>
      <c r="M284" s="8">
        <v>3.0</v>
      </c>
      <c r="N284" s="8">
        <v>2.0</v>
      </c>
      <c r="O284" s="8">
        <v>11.0</v>
      </c>
      <c r="P284" s="9">
        <v>0.21</v>
      </c>
      <c r="Q284" s="8">
        <v>176.0</v>
      </c>
      <c r="R284" s="10">
        <v>81.0</v>
      </c>
      <c r="S284" s="9">
        <v>0.5484</v>
      </c>
      <c r="T284" s="11">
        <v>10.0</v>
      </c>
    </row>
    <row r="285">
      <c r="A285" s="1" t="s">
        <v>592</v>
      </c>
      <c r="B285" s="1" t="s">
        <v>593</v>
      </c>
      <c r="C285" s="1" t="s">
        <v>28</v>
      </c>
      <c r="D285" s="7">
        <v>45821.0</v>
      </c>
      <c r="E285" s="7">
        <v>45884.0</v>
      </c>
      <c r="F285" s="8">
        <v>14.0</v>
      </c>
      <c r="G285" s="8">
        <v>9.0</v>
      </c>
      <c r="H285" s="8">
        <v>4.2</v>
      </c>
      <c r="I285" s="9">
        <v>0.6564</v>
      </c>
      <c r="J285" s="8">
        <v>4.4</v>
      </c>
      <c r="K285" s="8">
        <v>3.6</v>
      </c>
      <c r="L285" s="4" t="s">
        <v>29</v>
      </c>
      <c r="M285" s="8">
        <v>1.0</v>
      </c>
      <c r="N285" s="8">
        <v>0.0</v>
      </c>
      <c r="O285" s="8">
        <v>23.0</v>
      </c>
      <c r="P285" s="9">
        <v>0.4847</v>
      </c>
      <c r="Q285" s="8">
        <v>128.0</v>
      </c>
      <c r="R285" s="10">
        <v>63.0</v>
      </c>
      <c r="S285" s="9">
        <v>0.6429</v>
      </c>
      <c r="T285" s="11">
        <v>7.65</v>
      </c>
    </row>
    <row r="286">
      <c r="A286" s="1" t="s">
        <v>594</v>
      </c>
      <c r="B286" s="1" t="s">
        <v>595</v>
      </c>
      <c r="C286" s="1" t="s">
        <v>22</v>
      </c>
      <c r="D286" s="6">
        <v>45810.0</v>
      </c>
      <c r="E286" s="7">
        <v>45849.0</v>
      </c>
      <c r="F286" s="8">
        <v>39.0</v>
      </c>
      <c r="G286" s="8">
        <v>26.0</v>
      </c>
      <c r="H286" s="8">
        <v>5.6</v>
      </c>
      <c r="I286" s="9">
        <v>0.6625</v>
      </c>
      <c r="J286" s="8">
        <v>6.5</v>
      </c>
      <c r="K286" s="8">
        <v>6.2</v>
      </c>
      <c r="L286" s="4" t="s">
        <v>23</v>
      </c>
      <c r="M286" s="8">
        <v>3.0</v>
      </c>
      <c r="N286" s="8">
        <v>0.0</v>
      </c>
      <c r="O286" s="8">
        <v>36.0</v>
      </c>
      <c r="P286" s="9">
        <v>0.7249</v>
      </c>
      <c r="Q286" s="8">
        <v>179.0</v>
      </c>
      <c r="R286" s="10">
        <v>39.0</v>
      </c>
      <c r="S286" s="9">
        <v>0.6667</v>
      </c>
      <c r="T286" s="11">
        <v>5.95</v>
      </c>
    </row>
    <row r="287">
      <c r="A287" s="1" t="s">
        <v>596</v>
      </c>
      <c r="B287" s="1" t="s">
        <v>597</v>
      </c>
      <c r="C287" s="1" t="s">
        <v>32</v>
      </c>
      <c r="D287" s="6">
        <v>45815.0</v>
      </c>
      <c r="E287" s="7">
        <v>45886.0</v>
      </c>
      <c r="F287" s="8">
        <v>40.0</v>
      </c>
      <c r="G287" s="8">
        <v>33.0</v>
      </c>
      <c r="H287" s="8">
        <v>6.0</v>
      </c>
      <c r="I287" s="9">
        <v>0.8661</v>
      </c>
      <c r="J287" s="8">
        <v>5.9</v>
      </c>
      <c r="K287" s="8">
        <v>5.2</v>
      </c>
      <c r="L287" s="4" t="s">
        <v>33</v>
      </c>
      <c r="M287" s="8">
        <v>4.0</v>
      </c>
      <c r="N287" s="8">
        <v>1.0</v>
      </c>
      <c r="O287" s="8">
        <v>25.0</v>
      </c>
      <c r="P287" s="9">
        <v>0.5562</v>
      </c>
      <c r="Q287" s="8">
        <v>143.0</v>
      </c>
      <c r="R287" s="10">
        <v>71.0</v>
      </c>
      <c r="S287" s="9">
        <v>0.825</v>
      </c>
      <c r="T287" s="11">
        <v>6.88</v>
      </c>
    </row>
    <row r="288">
      <c r="A288" s="1" t="s">
        <v>598</v>
      </c>
      <c r="B288" s="1" t="s">
        <v>599</v>
      </c>
      <c r="C288" s="1" t="s">
        <v>22</v>
      </c>
      <c r="D288" s="6">
        <v>45813.0</v>
      </c>
      <c r="E288" s="7">
        <v>45889.0</v>
      </c>
      <c r="F288" s="8">
        <v>49.0</v>
      </c>
      <c r="G288" s="8">
        <v>39.0</v>
      </c>
      <c r="H288" s="8">
        <v>3.9</v>
      </c>
      <c r="I288" s="9">
        <v>0.8047</v>
      </c>
      <c r="J288" s="8">
        <v>8.8</v>
      </c>
      <c r="K288" s="8">
        <v>9.7</v>
      </c>
      <c r="L288" s="4" t="s">
        <v>23</v>
      </c>
      <c r="M288" s="8">
        <v>5.0</v>
      </c>
      <c r="N288" s="8">
        <v>0.0</v>
      </c>
      <c r="O288" s="8">
        <v>48.0</v>
      </c>
      <c r="P288" s="9">
        <v>0.9456</v>
      </c>
      <c r="Q288" s="8">
        <v>199.0</v>
      </c>
      <c r="R288" s="10">
        <v>76.0</v>
      </c>
      <c r="S288" s="9">
        <v>0.7959</v>
      </c>
      <c r="T288" s="11">
        <v>10.0</v>
      </c>
    </row>
    <row r="289">
      <c r="A289" s="1" t="s">
        <v>600</v>
      </c>
      <c r="B289" s="1" t="s">
        <v>601</v>
      </c>
      <c r="C289" s="1" t="s">
        <v>32</v>
      </c>
      <c r="D289" s="6">
        <v>45812.0</v>
      </c>
      <c r="E289" s="6">
        <v>45901.0</v>
      </c>
      <c r="F289" s="8">
        <v>34.0</v>
      </c>
      <c r="G289" s="8">
        <v>18.0</v>
      </c>
      <c r="H289" s="8">
        <v>5.2</v>
      </c>
      <c r="I289" s="9">
        <v>0.6849</v>
      </c>
      <c r="J289" s="8">
        <v>3.9</v>
      </c>
      <c r="K289" s="8">
        <v>3.2</v>
      </c>
      <c r="L289" s="4" t="s">
        <v>33</v>
      </c>
      <c r="M289" s="8">
        <v>2.0</v>
      </c>
      <c r="N289" s="8">
        <v>3.0</v>
      </c>
      <c r="O289" s="8">
        <v>29.0</v>
      </c>
      <c r="P289" s="9">
        <v>0.4856</v>
      </c>
      <c r="Q289" s="8">
        <v>146.0</v>
      </c>
      <c r="R289" s="10">
        <v>89.0</v>
      </c>
      <c r="S289" s="9">
        <v>0.5294</v>
      </c>
      <c r="T289" s="11">
        <v>5.09</v>
      </c>
    </row>
    <row r="290">
      <c r="A290" s="1" t="s">
        <v>602</v>
      </c>
      <c r="B290" s="1" t="s">
        <v>603</v>
      </c>
      <c r="C290" s="1" t="s">
        <v>28</v>
      </c>
      <c r="D290" s="7">
        <v>45820.0</v>
      </c>
      <c r="E290" s="6">
        <v>45907.0</v>
      </c>
      <c r="F290" s="8">
        <v>48.0</v>
      </c>
      <c r="G290" s="8">
        <v>32.0</v>
      </c>
      <c r="H290" s="8">
        <v>1.8</v>
      </c>
      <c r="I290" s="9">
        <v>0.8534</v>
      </c>
      <c r="J290" s="8">
        <v>6.1</v>
      </c>
      <c r="K290" s="8">
        <v>4.9</v>
      </c>
      <c r="L290" s="4" t="s">
        <v>29</v>
      </c>
      <c r="M290" s="8">
        <v>4.0</v>
      </c>
      <c r="N290" s="8">
        <v>3.0</v>
      </c>
      <c r="O290" s="8">
        <v>33.0</v>
      </c>
      <c r="P290" s="9">
        <v>0.6629</v>
      </c>
      <c r="Q290" s="8">
        <v>189.0</v>
      </c>
      <c r="R290" s="10">
        <v>87.0</v>
      </c>
      <c r="S290" s="9">
        <v>0.6667</v>
      </c>
      <c r="T290" s="11">
        <v>10.0</v>
      </c>
    </row>
    <row r="291">
      <c r="A291" s="1" t="s">
        <v>604</v>
      </c>
      <c r="B291" s="1" t="s">
        <v>605</v>
      </c>
      <c r="C291" s="1" t="s">
        <v>22</v>
      </c>
      <c r="D291" s="7">
        <v>45829.0</v>
      </c>
      <c r="E291" s="7">
        <v>45862.0</v>
      </c>
      <c r="F291" s="8">
        <v>41.0</v>
      </c>
      <c r="G291" s="8">
        <v>33.0</v>
      </c>
      <c r="H291" s="8">
        <v>9.5</v>
      </c>
      <c r="I291" s="9">
        <v>0.8859</v>
      </c>
      <c r="J291" s="8">
        <v>8.4</v>
      </c>
      <c r="K291" s="8">
        <v>7.8</v>
      </c>
      <c r="L291" s="4" t="s">
        <v>23</v>
      </c>
      <c r="M291" s="8">
        <v>5.0</v>
      </c>
      <c r="N291" s="8">
        <v>3.0</v>
      </c>
      <c r="O291" s="8">
        <v>33.0</v>
      </c>
      <c r="P291" s="9">
        <v>0.8044</v>
      </c>
      <c r="Q291" s="8">
        <v>197.0</v>
      </c>
      <c r="R291" s="10">
        <v>33.0</v>
      </c>
      <c r="S291" s="9">
        <v>0.8049</v>
      </c>
      <c r="T291" s="11">
        <v>4.24</v>
      </c>
    </row>
    <row r="292">
      <c r="A292" s="1" t="s">
        <v>606</v>
      </c>
      <c r="B292" s="1" t="s">
        <v>607</v>
      </c>
      <c r="C292" s="1" t="s">
        <v>28</v>
      </c>
      <c r="D292" s="7">
        <v>45821.0</v>
      </c>
      <c r="E292" s="7">
        <v>45855.0</v>
      </c>
      <c r="F292" s="8">
        <v>16.0</v>
      </c>
      <c r="G292" s="8">
        <v>10.0</v>
      </c>
      <c r="H292" s="8">
        <v>9.3</v>
      </c>
      <c r="I292" s="9">
        <v>0.7769</v>
      </c>
      <c r="J292" s="8">
        <v>5.4</v>
      </c>
      <c r="K292" s="8">
        <v>5.3</v>
      </c>
      <c r="L292" s="4" t="s">
        <v>29</v>
      </c>
      <c r="M292" s="8">
        <v>2.0</v>
      </c>
      <c r="N292" s="8">
        <v>3.0</v>
      </c>
      <c r="O292" s="8">
        <v>33.0</v>
      </c>
      <c r="P292" s="9">
        <v>0.3806</v>
      </c>
      <c r="Q292" s="8">
        <v>197.0</v>
      </c>
      <c r="R292" s="10">
        <v>34.0</v>
      </c>
      <c r="S292" s="9">
        <v>0.625</v>
      </c>
      <c r="T292" s="11">
        <v>3.36</v>
      </c>
    </row>
    <row r="293">
      <c r="A293" s="1" t="s">
        <v>608</v>
      </c>
      <c r="B293" s="1" t="s">
        <v>609</v>
      </c>
      <c r="C293" s="1" t="s">
        <v>32</v>
      </c>
      <c r="D293" s="7">
        <v>45828.0</v>
      </c>
      <c r="E293" s="7">
        <v>45916.0</v>
      </c>
      <c r="F293" s="8">
        <v>44.0</v>
      </c>
      <c r="G293" s="8">
        <v>24.0</v>
      </c>
      <c r="H293" s="8">
        <v>1.1</v>
      </c>
      <c r="I293" s="9">
        <v>0.6473</v>
      </c>
      <c r="J293" s="8">
        <v>2.5</v>
      </c>
      <c r="K293" s="8">
        <v>3.3</v>
      </c>
      <c r="L293" s="4" t="s">
        <v>33</v>
      </c>
      <c r="M293" s="8">
        <v>4.0</v>
      </c>
      <c r="N293" s="8">
        <v>0.0</v>
      </c>
      <c r="O293" s="8">
        <v>10.0</v>
      </c>
      <c r="P293" s="9">
        <v>0.2567</v>
      </c>
      <c r="Q293" s="8">
        <v>124.0</v>
      </c>
      <c r="R293" s="10">
        <v>88.0</v>
      </c>
      <c r="S293" s="9">
        <v>0.5455</v>
      </c>
      <c r="T293" s="11">
        <v>10.0</v>
      </c>
    </row>
    <row r="294">
      <c r="A294" s="1" t="s">
        <v>610</v>
      </c>
      <c r="B294" s="1" t="s">
        <v>611</v>
      </c>
      <c r="C294" s="1" t="s">
        <v>28</v>
      </c>
      <c r="D294" s="7">
        <v>45824.0</v>
      </c>
      <c r="E294" s="7">
        <v>45879.0</v>
      </c>
      <c r="F294" s="8">
        <v>17.0</v>
      </c>
      <c r="G294" s="8">
        <v>10.0</v>
      </c>
      <c r="H294" s="8">
        <v>1.9</v>
      </c>
      <c r="I294" s="9">
        <v>0.8058</v>
      </c>
      <c r="J294" s="8">
        <v>4.6</v>
      </c>
      <c r="K294" s="8">
        <v>5.6</v>
      </c>
      <c r="L294" s="4" t="s">
        <v>29</v>
      </c>
      <c r="M294" s="8">
        <v>2.0</v>
      </c>
      <c r="N294" s="8">
        <v>4.0</v>
      </c>
      <c r="O294" s="8">
        <v>25.0</v>
      </c>
      <c r="P294" s="9">
        <v>0.3356</v>
      </c>
      <c r="Q294" s="8">
        <v>139.0</v>
      </c>
      <c r="R294" s="10">
        <v>55.0</v>
      </c>
      <c r="S294" s="9">
        <v>0.5882</v>
      </c>
      <c r="T294" s="11">
        <v>10.0</v>
      </c>
    </row>
    <row r="295">
      <c r="A295" s="1" t="s">
        <v>612</v>
      </c>
      <c r="B295" s="1" t="s">
        <v>613</v>
      </c>
      <c r="C295" s="1" t="s">
        <v>32</v>
      </c>
      <c r="D295" s="6">
        <v>45813.0</v>
      </c>
      <c r="E295" s="6">
        <v>45877.0</v>
      </c>
      <c r="F295" s="8">
        <v>11.0</v>
      </c>
      <c r="G295" s="8">
        <v>8.0</v>
      </c>
      <c r="H295" s="8">
        <v>3.8</v>
      </c>
      <c r="I295" s="9">
        <v>0.8331</v>
      </c>
      <c r="J295" s="8">
        <v>4.6</v>
      </c>
      <c r="K295" s="8">
        <v>4.8</v>
      </c>
      <c r="L295" s="4" t="s">
        <v>33</v>
      </c>
      <c r="M295" s="8">
        <v>2.0</v>
      </c>
      <c r="N295" s="8">
        <v>2.0</v>
      </c>
      <c r="O295" s="8">
        <v>10.0</v>
      </c>
      <c r="P295" s="9">
        <v>0.4131</v>
      </c>
      <c r="Q295" s="8">
        <v>195.0</v>
      </c>
      <c r="R295" s="10">
        <v>64.0</v>
      </c>
      <c r="S295" s="9">
        <v>0.7273</v>
      </c>
      <c r="T295" s="11">
        <v>9.57</v>
      </c>
    </row>
    <row r="296">
      <c r="A296" s="1" t="s">
        <v>614</v>
      </c>
      <c r="B296" s="1" t="s">
        <v>615</v>
      </c>
      <c r="C296" s="1" t="s">
        <v>28</v>
      </c>
      <c r="D296" s="7">
        <v>45818.0</v>
      </c>
      <c r="E296" s="7">
        <v>45855.0</v>
      </c>
      <c r="F296" s="8">
        <v>31.0</v>
      </c>
      <c r="G296" s="8">
        <v>19.0</v>
      </c>
      <c r="H296" s="8">
        <v>8.2</v>
      </c>
      <c r="I296" s="9">
        <v>0.8291</v>
      </c>
      <c r="J296" s="8">
        <v>4.8</v>
      </c>
      <c r="K296" s="8">
        <v>4.3</v>
      </c>
      <c r="L296" s="4" t="s">
        <v>29</v>
      </c>
      <c r="M296" s="8">
        <v>2.0</v>
      </c>
      <c r="N296" s="8">
        <v>5.0</v>
      </c>
      <c r="O296" s="8">
        <v>39.0</v>
      </c>
      <c r="P296" s="9">
        <v>0.4439</v>
      </c>
      <c r="Q296" s="8">
        <v>145.0</v>
      </c>
      <c r="R296" s="10">
        <v>37.0</v>
      </c>
      <c r="S296" s="9">
        <v>0.6129</v>
      </c>
      <c r="T296" s="11">
        <v>3.74</v>
      </c>
    </row>
    <row r="297">
      <c r="A297" s="1" t="s">
        <v>616</v>
      </c>
      <c r="B297" s="1" t="s">
        <v>617</v>
      </c>
      <c r="C297" s="1" t="s">
        <v>22</v>
      </c>
      <c r="D297" s="7">
        <v>45819.0</v>
      </c>
      <c r="E297" s="7">
        <v>45882.0</v>
      </c>
      <c r="F297" s="8">
        <v>28.0</v>
      </c>
      <c r="G297" s="8">
        <v>17.0</v>
      </c>
      <c r="H297" s="8">
        <v>1.4</v>
      </c>
      <c r="I297" s="9">
        <v>0.7192</v>
      </c>
      <c r="J297" s="8">
        <v>7.2</v>
      </c>
      <c r="K297" s="8">
        <v>7.5</v>
      </c>
      <c r="L297" s="4" t="s">
        <v>23</v>
      </c>
      <c r="M297" s="8">
        <v>3.0</v>
      </c>
      <c r="N297" s="8">
        <v>1.0</v>
      </c>
      <c r="O297" s="8">
        <v>42.0</v>
      </c>
      <c r="P297" s="9">
        <v>0.711</v>
      </c>
      <c r="Q297" s="8">
        <v>183.0</v>
      </c>
      <c r="R297" s="10">
        <v>63.0</v>
      </c>
      <c r="S297" s="9">
        <v>0.6071</v>
      </c>
      <c r="T297" s="11">
        <v>10.0</v>
      </c>
    </row>
    <row r="298">
      <c r="A298" s="1" t="s">
        <v>618</v>
      </c>
      <c r="B298" s="1" t="s">
        <v>619</v>
      </c>
      <c r="C298" s="1" t="s">
        <v>28</v>
      </c>
      <c r="D298" s="7">
        <v>45827.0</v>
      </c>
      <c r="E298" s="7">
        <v>45899.0</v>
      </c>
      <c r="F298" s="8">
        <v>16.0</v>
      </c>
      <c r="G298" s="8">
        <v>9.0</v>
      </c>
      <c r="H298" s="8">
        <v>2.7</v>
      </c>
      <c r="I298" s="9">
        <v>0.7597</v>
      </c>
      <c r="J298" s="8">
        <v>6.5</v>
      </c>
      <c r="K298" s="8">
        <v>6.9</v>
      </c>
      <c r="L298" s="4" t="s">
        <v>29</v>
      </c>
      <c r="M298" s="8">
        <v>1.0</v>
      </c>
      <c r="N298" s="8">
        <v>4.0</v>
      </c>
      <c r="O298" s="8">
        <v>39.0</v>
      </c>
      <c r="P298" s="9">
        <v>0.7398</v>
      </c>
      <c r="Q298" s="8">
        <v>156.0</v>
      </c>
      <c r="R298" s="10">
        <v>72.0</v>
      </c>
      <c r="S298" s="9">
        <v>0.5625</v>
      </c>
      <c r="T298" s="11">
        <v>10.0</v>
      </c>
    </row>
    <row r="299">
      <c r="A299" s="1" t="s">
        <v>620</v>
      </c>
      <c r="B299" s="1" t="s">
        <v>621</v>
      </c>
      <c r="C299" s="1" t="s">
        <v>22</v>
      </c>
      <c r="D299" s="7">
        <v>45822.0</v>
      </c>
      <c r="E299" s="7">
        <v>45858.0</v>
      </c>
      <c r="F299" s="8">
        <v>34.0</v>
      </c>
      <c r="G299" s="8">
        <v>18.0</v>
      </c>
      <c r="H299" s="8">
        <v>9.7</v>
      </c>
      <c r="I299" s="9">
        <v>0.6084</v>
      </c>
      <c r="J299" s="8">
        <v>7.2</v>
      </c>
      <c r="K299" s="8">
        <v>7.6</v>
      </c>
      <c r="L299" s="4" t="s">
        <v>23</v>
      </c>
      <c r="M299" s="8">
        <v>2.0</v>
      </c>
      <c r="N299" s="8">
        <v>0.0</v>
      </c>
      <c r="O299" s="8">
        <v>45.0</v>
      </c>
      <c r="P299" s="9">
        <v>0.7293</v>
      </c>
      <c r="Q299" s="8">
        <v>130.0</v>
      </c>
      <c r="R299" s="10">
        <v>36.0</v>
      </c>
      <c r="S299" s="9">
        <v>0.5294</v>
      </c>
      <c r="T299" s="11">
        <v>2.73</v>
      </c>
    </row>
    <row r="300">
      <c r="A300" s="1" t="s">
        <v>622</v>
      </c>
      <c r="B300" s="1" t="s">
        <v>623</v>
      </c>
      <c r="C300" s="1" t="s">
        <v>28</v>
      </c>
      <c r="D300" s="7">
        <v>45822.0</v>
      </c>
      <c r="E300" s="7">
        <v>45865.0</v>
      </c>
      <c r="F300" s="8">
        <v>37.0</v>
      </c>
      <c r="G300" s="8">
        <v>21.0</v>
      </c>
      <c r="H300" s="8">
        <v>8.3</v>
      </c>
      <c r="I300" s="9">
        <v>0.748</v>
      </c>
      <c r="J300" s="8">
        <v>5.7</v>
      </c>
      <c r="K300" s="8">
        <v>5.1</v>
      </c>
      <c r="L300" s="4" t="s">
        <v>29</v>
      </c>
      <c r="M300" s="8">
        <v>4.0</v>
      </c>
      <c r="N300" s="8">
        <v>1.0</v>
      </c>
      <c r="O300" s="8">
        <v>28.0</v>
      </c>
      <c r="P300" s="9">
        <v>0.5668</v>
      </c>
      <c r="Q300" s="8">
        <v>149.0</v>
      </c>
      <c r="R300" s="10">
        <v>43.0</v>
      </c>
      <c r="S300" s="9">
        <v>0.5676</v>
      </c>
      <c r="T300" s="11">
        <v>3.42</v>
      </c>
    </row>
    <row r="301">
      <c r="A301" s="1" t="s">
        <v>624</v>
      </c>
      <c r="B301" s="1" t="s">
        <v>625</v>
      </c>
      <c r="C301" s="1" t="s">
        <v>22</v>
      </c>
      <c r="D301" s="6">
        <v>45814.0</v>
      </c>
      <c r="E301" s="6">
        <v>45901.0</v>
      </c>
      <c r="F301" s="8">
        <v>38.0</v>
      </c>
      <c r="G301" s="8">
        <v>27.0</v>
      </c>
      <c r="H301" s="8">
        <v>9.9</v>
      </c>
      <c r="I301" s="9">
        <v>0.7997</v>
      </c>
      <c r="J301" s="8">
        <v>7.9</v>
      </c>
      <c r="K301" s="8">
        <v>7.3</v>
      </c>
      <c r="L301" s="4" t="s">
        <v>23</v>
      </c>
      <c r="M301" s="8">
        <v>4.0</v>
      </c>
      <c r="N301" s="8">
        <v>1.0</v>
      </c>
      <c r="O301" s="8">
        <v>32.0</v>
      </c>
      <c r="P301" s="9">
        <v>0.9009</v>
      </c>
      <c r="Q301" s="8">
        <v>126.0</v>
      </c>
      <c r="R301" s="10">
        <v>87.0</v>
      </c>
      <c r="S301" s="9">
        <v>0.7105</v>
      </c>
      <c r="T301" s="11">
        <v>3.59</v>
      </c>
    </row>
    <row r="302">
      <c r="D302" s="12"/>
      <c r="E302" s="12"/>
      <c r="I302" s="13"/>
      <c r="L302" s="14"/>
      <c r="P302" s="13"/>
      <c r="R302" s="15"/>
      <c r="S302" s="13"/>
      <c r="T302" s="16"/>
    </row>
    <row r="303">
      <c r="D303" s="12"/>
      <c r="E303" s="12"/>
      <c r="I303" s="13"/>
      <c r="L303" s="14"/>
      <c r="P303" s="13"/>
      <c r="R303" s="15"/>
      <c r="S303" s="13"/>
      <c r="T303" s="16"/>
    </row>
    <row r="304">
      <c r="D304" s="12"/>
      <c r="E304" s="12"/>
      <c r="I304" s="13"/>
      <c r="L304" s="14"/>
      <c r="P304" s="13"/>
      <c r="R304" s="15"/>
      <c r="S304" s="13"/>
      <c r="T304" s="16"/>
    </row>
    <row r="305">
      <c r="D305" s="12"/>
      <c r="E305" s="12"/>
      <c r="I305" s="13"/>
      <c r="L305" s="14"/>
      <c r="P305" s="13"/>
      <c r="R305" s="15"/>
      <c r="S305" s="13"/>
      <c r="T305" s="16"/>
    </row>
    <row r="306">
      <c r="D306" s="12"/>
      <c r="E306" s="12"/>
      <c r="I306" s="13"/>
      <c r="L306" s="14"/>
      <c r="P306" s="13"/>
      <c r="R306" s="15"/>
      <c r="S306" s="13"/>
      <c r="T306" s="16"/>
    </row>
    <row r="307">
      <c r="D307" s="12"/>
      <c r="E307" s="12"/>
      <c r="I307" s="13"/>
      <c r="L307" s="14"/>
      <c r="P307" s="13"/>
      <c r="R307" s="15"/>
      <c r="S307" s="13"/>
      <c r="T307" s="16"/>
    </row>
    <row r="308">
      <c r="D308" s="12"/>
      <c r="E308" s="12"/>
      <c r="I308" s="13"/>
      <c r="L308" s="14"/>
      <c r="P308" s="13"/>
      <c r="R308" s="15"/>
      <c r="S308" s="13"/>
      <c r="T308" s="16"/>
    </row>
    <row r="309">
      <c r="D309" s="12"/>
      <c r="E309" s="12"/>
      <c r="I309" s="13"/>
      <c r="L309" s="14"/>
      <c r="P309" s="13"/>
      <c r="R309" s="15"/>
      <c r="S309" s="13"/>
      <c r="T309" s="16"/>
    </row>
    <row r="310">
      <c r="D310" s="12"/>
      <c r="E310" s="12"/>
      <c r="I310" s="13"/>
      <c r="L310" s="14"/>
      <c r="P310" s="13"/>
      <c r="R310" s="15"/>
      <c r="S310" s="13"/>
      <c r="T310" s="16"/>
    </row>
    <row r="311">
      <c r="D311" s="12"/>
      <c r="E311" s="12"/>
      <c r="I311" s="13"/>
      <c r="L311" s="14"/>
      <c r="P311" s="13"/>
      <c r="R311" s="15"/>
      <c r="S311" s="13"/>
      <c r="T311" s="16"/>
    </row>
    <row r="312">
      <c r="D312" s="12"/>
      <c r="E312" s="12"/>
      <c r="I312" s="13"/>
      <c r="L312" s="14"/>
      <c r="P312" s="13"/>
      <c r="R312" s="15"/>
      <c r="S312" s="13"/>
      <c r="T312" s="16"/>
    </row>
    <row r="313">
      <c r="D313" s="12"/>
      <c r="E313" s="12"/>
      <c r="I313" s="13"/>
      <c r="L313" s="14"/>
      <c r="P313" s="13"/>
      <c r="R313" s="15"/>
      <c r="S313" s="13"/>
      <c r="T313" s="16"/>
    </row>
    <row r="314">
      <c r="D314" s="12"/>
      <c r="E314" s="12"/>
      <c r="I314" s="13"/>
      <c r="L314" s="14"/>
      <c r="P314" s="13"/>
      <c r="R314" s="15"/>
      <c r="S314" s="13"/>
      <c r="T314" s="16"/>
    </row>
    <row r="315">
      <c r="D315" s="12"/>
      <c r="E315" s="12"/>
      <c r="I315" s="13"/>
      <c r="L315" s="14"/>
      <c r="P315" s="13"/>
      <c r="R315" s="15"/>
      <c r="S315" s="13"/>
      <c r="T315" s="16"/>
    </row>
    <row r="316">
      <c r="D316" s="12"/>
      <c r="E316" s="12"/>
      <c r="I316" s="13"/>
      <c r="L316" s="14"/>
      <c r="P316" s="13"/>
      <c r="R316" s="15"/>
      <c r="S316" s="13"/>
      <c r="T316" s="16"/>
    </row>
    <row r="317">
      <c r="D317" s="12"/>
      <c r="E317" s="12"/>
      <c r="I317" s="13"/>
      <c r="L317" s="14"/>
      <c r="P317" s="13"/>
      <c r="R317" s="15"/>
      <c r="S317" s="13"/>
      <c r="T317" s="16"/>
    </row>
    <row r="318">
      <c r="D318" s="12"/>
      <c r="E318" s="12"/>
      <c r="I318" s="13"/>
      <c r="L318" s="14"/>
      <c r="P318" s="13"/>
      <c r="R318" s="15"/>
      <c r="S318" s="13"/>
      <c r="T318" s="16"/>
    </row>
    <row r="319">
      <c r="D319" s="12"/>
      <c r="E319" s="12"/>
      <c r="I319" s="13"/>
      <c r="L319" s="14"/>
      <c r="P319" s="13"/>
      <c r="R319" s="15"/>
      <c r="S319" s="13"/>
      <c r="T319" s="16"/>
    </row>
    <row r="320">
      <c r="D320" s="12"/>
      <c r="E320" s="12"/>
      <c r="I320" s="13"/>
      <c r="L320" s="14"/>
      <c r="P320" s="13"/>
      <c r="R320" s="15"/>
      <c r="S320" s="13"/>
      <c r="T320" s="16"/>
    </row>
    <row r="321">
      <c r="D321" s="12"/>
      <c r="E321" s="12"/>
      <c r="I321" s="13"/>
      <c r="L321" s="14"/>
      <c r="P321" s="13"/>
      <c r="R321" s="15"/>
      <c r="S321" s="13"/>
      <c r="T321" s="16"/>
    </row>
    <row r="322">
      <c r="D322" s="12"/>
      <c r="E322" s="12"/>
      <c r="I322" s="13"/>
      <c r="L322" s="14"/>
      <c r="P322" s="13"/>
      <c r="R322" s="15"/>
      <c r="S322" s="13"/>
      <c r="T322" s="16"/>
    </row>
    <row r="323">
      <c r="D323" s="12"/>
      <c r="E323" s="12"/>
      <c r="I323" s="13"/>
      <c r="L323" s="14"/>
      <c r="P323" s="13"/>
      <c r="R323" s="15"/>
      <c r="S323" s="13"/>
      <c r="T323" s="16"/>
    </row>
    <row r="324">
      <c r="D324" s="12"/>
      <c r="E324" s="12"/>
      <c r="I324" s="13"/>
      <c r="L324" s="14"/>
      <c r="P324" s="13"/>
      <c r="R324" s="15"/>
      <c r="S324" s="13"/>
      <c r="T324" s="16"/>
    </row>
    <row r="325">
      <c r="D325" s="12"/>
      <c r="E325" s="12"/>
      <c r="I325" s="13"/>
      <c r="L325" s="14"/>
      <c r="P325" s="13"/>
      <c r="R325" s="15"/>
      <c r="S325" s="13"/>
      <c r="T325" s="16"/>
    </row>
    <row r="326">
      <c r="D326" s="12"/>
      <c r="E326" s="12"/>
      <c r="I326" s="13"/>
      <c r="L326" s="14"/>
      <c r="P326" s="13"/>
      <c r="S326" s="13"/>
      <c r="T326" s="16"/>
    </row>
    <row r="327">
      <c r="D327" s="12"/>
      <c r="E327" s="12"/>
      <c r="I327" s="13"/>
      <c r="L327" s="14"/>
      <c r="P327" s="13"/>
      <c r="S327" s="13"/>
      <c r="T327" s="16"/>
    </row>
    <row r="328">
      <c r="D328" s="12"/>
      <c r="E328" s="12"/>
      <c r="I328" s="13"/>
      <c r="L328" s="14"/>
      <c r="P328" s="13"/>
      <c r="S328" s="13"/>
      <c r="T328" s="16"/>
    </row>
    <row r="329">
      <c r="D329" s="12"/>
      <c r="E329" s="12"/>
      <c r="I329" s="13"/>
      <c r="L329" s="14"/>
      <c r="P329" s="13"/>
      <c r="S329" s="13"/>
      <c r="T329" s="16"/>
    </row>
    <row r="330">
      <c r="D330" s="12"/>
      <c r="E330" s="12"/>
      <c r="I330" s="13"/>
      <c r="L330" s="14"/>
      <c r="P330" s="13"/>
      <c r="S330" s="13"/>
      <c r="T330" s="16"/>
    </row>
    <row r="331">
      <c r="D331" s="12"/>
      <c r="E331" s="12"/>
      <c r="I331" s="13"/>
      <c r="L331" s="14"/>
      <c r="P331" s="13"/>
      <c r="S331" s="13"/>
      <c r="T331" s="16"/>
    </row>
    <row r="332">
      <c r="D332" s="12"/>
      <c r="E332" s="12"/>
      <c r="I332" s="13"/>
      <c r="L332" s="14"/>
      <c r="P332" s="13"/>
      <c r="S332" s="13"/>
      <c r="T332" s="16"/>
    </row>
    <row r="333">
      <c r="D333" s="12"/>
      <c r="E333" s="12"/>
      <c r="I333" s="13"/>
      <c r="L333" s="14"/>
      <c r="P333" s="13"/>
      <c r="S333" s="13"/>
      <c r="T333" s="16"/>
    </row>
    <row r="334">
      <c r="D334" s="12"/>
      <c r="E334" s="12"/>
      <c r="I334" s="13"/>
      <c r="L334" s="14"/>
      <c r="P334" s="13"/>
      <c r="S334" s="13"/>
      <c r="T334" s="16"/>
    </row>
    <row r="335">
      <c r="D335" s="12"/>
      <c r="E335" s="12"/>
      <c r="I335" s="13"/>
      <c r="L335" s="14"/>
      <c r="P335" s="13"/>
      <c r="S335" s="13"/>
      <c r="T335" s="16"/>
    </row>
    <row r="336">
      <c r="D336" s="12"/>
      <c r="E336" s="12"/>
      <c r="I336" s="13"/>
      <c r="L336" s="14"/>
      <c r="P336" s="13"/>
      <c r="S336" s="13"/>
      <c r="T336" s="16"/>
    </row>
    <row r="337">
      <c r="D337" s="12"/>
      <c r="E337" s="12"/>
      <c r="I337" s="13"/>
      <c r="L337" s="14"/>
      <c r="P337" s="13"/>
      <c r="S337" s="13"/>
      <c r="T337" s="16"/>
    </row>
    <row r="338">
      <c r="D338" s="12"/>
      <c r="E338" s="12"/>
      <c r="I338" s="13"/>
      <c r="L338" s="14"/>
      <c r="P338" s="13"/>
      <c r="S338" s="13"/>
      <c r="T338" s="16"/>
    </row>
    <row r="339">
      <c r="D339" s="12"/>
      <c r="E339" s="12"/>
      <c r="I339" s="13"/>
      <c r="L339" s="14"/>
      <c r="P339" s="13"/>
      <c r="S339" s="13"/>
      <c r="T339" s="16"/>
    </row>
    <row r="340">
      <c r="D340" s="12"/>
      <c r="E340" s="12"/>
      <c r="I340" s="13"/>
      <c r="L340" s="14"/>
      <c r="P340" s="13"/>
      <c r="S340" s="13"/>
      <c r="T340" s="16"/>
    </row>
    <row r="341">
      <c r="D341" s="12"/>
      <c r="E341" s="12"/>
      <c r="I341" s="13"/>
      <c r="L341" s="14"/>
      <c r="P341" s="13"/>
      <c r="S341" s="13"/>
      <c r="T341" s="16"/>
    </row>
    <row r="342">
      <c r="D342" s="12"/>
      <c r="E342" s="12"/>
      <c r="I342" s="13"/>
      <c r="L342" s="14"/>
      <c r="P342" s="13"/>
      <c r="S342" s="13"/>
      <c r="T342" s="16"/>
    </row>
    <row r="343">
      <c r="D343" s="12"/>
      <c r="E343" s="12"/>
      <c r="I343" s="13"/>
      <c r="L343" s="14"/>
      <c r="P343" s="13"/>
      <c r="S343" s="13"/>
      <c r="T343" s="16"/>
    </row>
    <row r="344">
      <c r="D344" s="12"/>
      <c r="E344" s="12"/>
      <c r="I344" s="13"/>
      <c r="L344" s="14"/>
      <c r="P344" s="13"/>
      <c r="S344" s="13"/>
      <c r="T344" s="16"/>
    </row>
    <row r="345">
      <c r="D345" s="12"/>
      <c r="E345" s="12"/>
      <c r="I345" s="13"/>
      <c r="L345" s="14"/>
      <c r="P345" s="13"/>
      <c r="S345" s="13"/>
      <c r="T345" s="16"/>
    </row>
    <row r="346">
      <c r="D346" s="12"/>
      <c r="E346" s="12"/>
      <c r="I346" s="13"/>
      <c r="L346" s="14"/>
      <c r="P346" s="13"/>
      <c r="S346" s="13"/>
      <c r="T346" s="16"/>
    </row>
    <row r="347">
      <c r="D347" s="12"/>
      <c r="E347" s="12"/>
      <c r="I347" s="13"/>
      <c r="L347" s="14"/>
      <c r="P347" s="13"/>
      <c r="S347" s="13"/>
      <c r="T347" s="16"/>
    </row>
    <row r="348">
      <c r="D348" s="12"/>
      <c r="E348" s="12"/>
      <c r="I348" s="13"/>
      <c r="L348" s="14"/>
      <c r="P348" s="13"/>
      <c r="S348" s="13"/>
      <c r="T348" s="16"/>
    </row>
    <row r="349">
      <c r="D349" s="12"/>
      <c r="E349" s="12"/>
      <c r="I349" s="13"/>
      <c r="L349" s="14"/>
      <c r="P349" s="13"/>
      <c r="S349" s="13"/>
      <c r="T349" s="16"/>
    </row>
    <row r="350">
      <c r="D350" s="12"/>
      <c r="E350" s="12"/>
      <c r="I350" s="13"/>
      <c r="L350" s="14"/>
      <c r="P350" s="13"/>
      <c r="S350" s="13"/>
      <c r="T350" s="16"/>
    </row>
    <row r="351">
      <c r="D351" s="12"/>
      <c r="E351" s="12"/>
      <c r="I351" s="13"/>
      <c r="L351" s="14"/>
      <c r="P351" s="13"/>
      <c r="S351" s="13"/>
      <c r="T351" s="16"/>
    </row>
    <row r="352">
      <c r="D352" s="12"/>
      <c r="E352" s="12"/>
      <c r="I352" s="13"/>
      <c r="L352" s="14"/>
      <c r="P352" s="13"/>
      <c r="S352" s="13"/>
      <c r="T352" s="16"/>
    </row>
    <row r="353">
      <c r="D353" s="12"/>
      <c r="E353" s="12"/>
      <c r="I353" s="13"/>
      <c r="L353" s="14"/>
      <c r="P353" s="13"/>
      <c r="S353" s="13"/>
      <c r="T353" s="16"/>
    </row>
    <row r="354">
      <c r="D354" s="12"/>
      <c r="E354" s="12"/>
      <c r="I354" s="13"/>
      <c r="L354" s="14"/>
      <c r="P354" s="13"/>
      <c r="S354" s="13"/>
      <c r="T354" s="16"/>
    </row>
    <row r="355">
      <c r="D355" s="12"/>
      <c r="E355" s="12"/>
      <c r="I355" s="13"/>
      <c r="L355" s="14"/>
      <c r="P355" s="13"/>
      <c r="S355" s="13"/>
      <c r="T355" s="16"/>
    </row>
    <row r="356">
      <c r="D356" s="12"/>
      <c r="E356" s="12"/>
      <c r="I356" s="13"/>
      <c r="L356" s="14"/>
      <c r="P356" s="13"/>
      <c r="S356" s="13"/>
      <c r="T356" s="16"/>
    </row>
    <row r="357">
      <c r="D357" s="12"/>
      <c r="E357" s="12"/>
      <c r="I357" s="13"/>
      <c r="L357" s="14"/>
      <c r="P357" s="13"/>
      <c r="S357" s="13"/>
      <c r="T357" s="16"/>
    </row>
    <row r="358">
      <c r="D358" s="12"/>
      <c r="E358" s="12"/>
      <c r="I358" s="13"/>
      <c r="L358" s="14"/>
      <c r="P358" s="13"/>
      <c r="S358" s="13"/>
      <c r="T358" s="16"/>
    </row>
    <row r="359">
      <c r="D359" s="12"/>
      <c r="E359" s="12"/>
      <c r="I359" s="13"/>
      <c r="L359" s="14"/>
      <c r="P359" s="13"/>
      <c r="S359" s="13"/>
      <c r="T359" s="16"/>
    </row>
    <row r="360">
      <c r="D360" s="12"/>
      <c r="E360" s="12"/>
      <c r="I360" s="13"/>
      <c r="L360" s="14"/>
      <c r="P360" s="13"/>
      <c r="S360" s="13"/>
      <c r="T360" s="16"/>
    </row>
    <row r="361">
      <c r="D361" s="12"/>
      <c r="E361" s="12"/>
      <c r="I361" s="13"/>
      <c r="L361" s="14"/>
      <c r="P361" s="13"/>
      <c r="S361" s="13"/>
      <c r="T361" s="16"/>
    </row>
    <row r="362">
      <c r="D362" s="12"/>
      <c r="E362" s="12"/>
      <c r="I362" s="13"/>
      <c r="L362" s="14"/>
      <c r="P362" s="13"/>
      <c r="S362" s="13"/>
      <c r="T362" s="16"/>
    </row>
    <row r="363">
      <c r="D363" s="12"/>
      <c r="E363" s="12"/>
      <c r="I363" s="13"/>
      <c r="L363" s="14"/>
      <c r="P363" s="13"/>
      <c r="S363" s="13"/>
      <c r="T363" s="16"/>
    </row>
    <row r="364">
      <c r="D364" s="12"/>
      <c r="E364" s="12"/>
      <c r="I364" s="13"/>
      <c r="L364" s="14"/>
      <c r="P364" s="13"/>
      <c r="S364" s="13"/>
      <c r="T364" s="16"/>
    </row>
    <row r="365">
      <c r="D365" s="12"/>
      <c r="E365" s="12"/>
      <c r="I365" s="13"/>
      <c r="L365" s="14"/>
      <c r="P365" s="13"/>
      <c r="S365" s="13"/>
      <c r="T365" s="16"/>
    </row>
    <row r="366">
      <c r="D366" s="12"/>
      <c r="E366" s="12"/>
      <c r="I366" s="13"/>
      <c r="L366" s="14"/>
      <c r="P366" s="13"/>
      <c r="S366" s="13"/>
      <c r="T366" s="16"/>
    </row>
    <row r="367">
      <c r="D367" s="12"/>
      <c r="E367" s="12"/>
      <c r="I367" s="13"/>
      <c r="L367" s="14"/>
      <c r="P367" s="13"/>
      <c r="S367" s="13"/>
      <c r="T367" s="16"/>
    </row>
    <row r="368">
      <c r="D368" s="12"/>
      <c r="E368" s="12"/>
      <c r="I368" s="13"/>
      <c r="L368" s="14"/>
      <c r="P368" s="13"/>
      <c r="S368" s="13"/>
      <c r="T368" s="16"/>
    </row>
    <row r="369">
      <c r="D369" s="12"/>
      <c r="E369" s="12"/>
      <c r="I369" s="13"/>
      <c r="L369" s="14"/>
      <c r="P369" s="13"/>
      <c r="S369" s="13"/>
      <c r="T369" s="16"/>
    </row>
    <row r="370">
      <c r="D370" s="12"/>
      <c r="E370" s="12"/>
      <c r="I370" s="13"/>
      <c r="L370" s="14"/>
      <c r="P370" s="13"/>
      <c r="S370" s="13"/>
      <c r="T370" s="16"/>
    </row>
    <row r="371">
      <c r="D371" s="12"/>
      <c r="E371" s="12"/>
      <c r="I371" s="13"/>
      <c r="L371" s="14"/>
      <c r="P371" s="13"/>
      <c r="S371" s="13"/>
      <c r="T371" s="16"/>
    </row>
    <row r="372">
      <c r="D372" s="12"/>
      <c r="E372" s="12"/>
      <c r="I372" s="13"/>
      <c r="L372" s="14"/>
      <c r="P372" s="13"/>
      <c r="S372" s="13"/>
      <c r="T372" s="16"/>
    </row>
    <row r="373">
      <c r="D373" s="12"/>
      <c r="E373" s="12"/>
      <c r="I373" s="13"/>
      <c r="L373" s="14"/>
      <c r="P373" s="13"/>
      <c r="S373" s="13"/>
      <c r="T373" s="16"/>
    </row>
    <row r="374">
      <c r="D374" s="12"/>
      <c r="E374" s="12"/>
      <c r="I374" s="13"/>
      <c r="L374" s="14"/>
      <c r="P374" s="13"/>
      <c r="S374" s="13"/>
      <c r="T374" s="16"/>
    </row>
    <row r="375">
      <c r="D375" s="12"/>
      <c r="E375" s="12"/>
      <c r="I375" s="13"/>
      <c r="L375" s="14"/>
      <c r="P375" s="13"/>
      <c r="S375" s="13"/>
      <c r="T375" s="16"/>
    </row>
    <row r="376">
      <c r="D376" s="12"/>
      <c r="E376" s="12"/>
      <c r="I376" s="13"/>
      <c r="L376" s="14"/>
      <c r="P376" s="13"/>
      <c r="S376" s="13"/>
      <c r="T376" s="16"/>
    </row>
    <row r="377">
      <c r="D377" s="12"/>
      <c r="E377" s="12"/>
      <c r="I377" s="13"/>
      <c r="L377" s="14"/>
      <c r="P377" s="13"/>
      <c r="S377" s="13"/>
      <c r="T377" s="16"/>
    </row>
    <row r="378">
      <c r="D378" s="12"/>
      <c r="E378" s="12"/>
      <c r="I378" s="13"/>
      <c r="L378" s="14"/>
      <c r="P378" s="13"/>
      <c r="S378" s="13"/>
      <c r="T378" s="16"/>
    </row>
    <row r="379">
      <c r="D379" s="12"/>
      <c r="E379" s="12"/>
      <c r="I379" s="13"/>
      <c r="L379" s="14"/>
      <c r="P379" s="13"/>
      <c r="S379" s="13"/>
      <c r="T379" s="16"/>
    </row>
    <row r="380">
      <c r="D380" s="12"/>
      <c r="E380" s="12"/>
      <c r="I380" s="13"/>
      <c r="L380" s="14"/>
      <c r="P380" s="13"/>
      <c r="S380" s="13"/>
      <c r="T380" s="16"/>
    </row>
    <row r="381">
      <c r="D381" s="12"/>
      <c r="E381" s="12"/>
      <c r="I381" s="13"/>
      <c r="L381" s="14"/>
      <c r="P381" s="13"/>
      <c r="S381" s="13"/>
      <c r="T381" s="16"/>
    </row>
    <row r="382">
      <c r="D382" s="12"/>
      <c r="E382" s="12"/>
      <c r="I382" s="13"/>
      <c r="L382" s="14"/>
      <c r="P382" s="13"/>
      <c r="S382" s="13"/>
      <c r="T382" s="16"/>
    </row>
    <row r="383">
      <c r="D383" s="12"/>
      <c r="E383" s="12"/>
      <c r="I383" s="13"/>
      <c r="L383" s="14"/>
      <c r="P383" s="13"/>
      <c r="S383" s="13"/>
      <c r="T383" s="16"/>
    </row>
    <row r="384">
      <c r="D384" s="12"/>
      <c r="E384" s="12"/>
      <c r="I384" s="13"/>
      <c r="L384" s="14"/>
      <c r="P384" s="13"/>
      <c r="S384" s="13"/>
      <c r="T384" s="16"/>
    </row>
    <row r="385">
      <c r="D385" s="12"/>
      <c r="E385" s="12"/>
      <c r="I385" s="13"/>
      <c r="L385" s="14"/>
      <c r="P385" s="13"/>
      <c r="S385" s="13"/>
      <c r="T385" s="16"/>
    </row>
    <row r="386">
      <c r="D386" s="12"/>
      <c r="E386" s="12"/>
      <c r="I386" s="13"/>
      <c r="L386" s="14"/>
      <c r="P386" s="13"/>
      <c r="S386" s="13"/>
      <c r="T386" s="16"/>
    </row>
    <row r="387">
      <c r="D387" s="12"/>
      <c r="E387" s="12"/>
      <c r="I387" s="13"/>
      <c r="L387" s="14"/>
      <c r="P387" s="13"/>
      <c r="S387" s="13"/>
      <c r="T387" s="16"/>
    </row>
    <row r="388">
      <c r="D388" s="12"/>
      <c r="E388" s="12"/>
      <c r="I388" s="13"/>
      <c r="L388" s="14"/>
      <c r="P388" s="13"/>
      <c r="S388" s="13"/>
      <c r="T388" s="16"/>
    </row>
    <row r="389">
      <c r="D389" s="12"/>
      <c r="E389" s="12"/>
      <c r="I389" s="13"/>
      <c r="L389" s="14"/>
      <c r="P389" s="13"/>
      <c r="S389" s="13"/>
      <c r="T389" s="16"/>
    </row>
    <row r="390">
      <c r="D390" s="12"/>
      <c r="E390" s="12"/>
      <c r="I390" s="13"/>
      <c r="L390" s="14"/>
      <c r="P390" s="13"/>
      <c r="S390" s="13"/>
      <c r="T390" s="16"/>
    </row>
    <row r="391">
      <c r="D391" s="12"/>
      <c r="E391" s="12"/>
      <c r="I391" s="13"/>
      <c r="L391" s="14"/>
      <c r="P391" s="13"/>
      <c r="S391" s="13"/>
      <c r="T391" s="16"/>
    </row>
    <row r="392">
      <c r="D392" s="12"/>
      <c r="E392" s="12"/>
      <c r="I392" s="13"/>
      <c r="L392" s="14"/>
      <c r="P392" s="13"/>
      <c r="S392" s="13"/>
      <c r="T392" s="16"/>
    </row>
    <row r="393">
      <c r="D393" s="12"/>
      <c r="E393" s="12"/>
      <c r="I393" s="13"/>
      <c r="L393" s="14"/>
      <c r="P393" s="13"/>
      <c r="S393" s="13"/>
      <c r="T393" s="16"/>
    </row>
    <row r="394">
      <c r="D394" s="12"/>
      <c r="E394" s="12"/>
      <c r="I394" s="13"/>
      <c r="L394" s="14"/>
      <c r="P394" s="13"/>
      <c r="S394" s="13"/>
      <c r="T394" s="16"/>
    </row>
    <row r="395">
      <c r="D395" s="12"/>
      <c r="E395" s="12"/>
      <c r="I395" s="13"/>
      <c r="L395" s="14"/>
      <c r="P395" s="13"/>
      <c r="S395" s="13"/>
      <c r="T395" s="16"/>
    </row>
    <row r="396">
      <c r="D396" s="12"/>
      <c r="E396" s="12"/>
      <c r="I396" s="13"/>
      <c r="L396" s="14"/>
      <c r="P396" s="13"/>
      <c r="S396" s="13"/>
      <c r="T396" s="16"/>
    </row>
    <row r="397">
      <c r="D397" s="12"/>
      <c r="E397" s="12"/>
      <c r="I397" s="13"/>
      <c r="L397" s="14"/>
      <c r="P397" s="13"/>
      <c r="S397" s="13"/>
      <c r="T397" s="16"/>
    </row>
    <row r="398">
      <c r="D398" s="12"/>
      <c r="E398" s="12"/>
      <c r="I398" s="13"/>
      <c r="L398" s="14"/>
      <c r="P398" s="13"/>
      <c r="S398" s="13"/>
      <c r="T398" s="16"/>
    </row>
    <row r="399">
      <c r="D399" s="12"/>
      <c r="E399" s="12"/>
      <c r="I399" s="13"/>
      <c r="L399" s="14"/>
      <c r="P399" s="13"/>
      <c r="S399" s="13"/>
      <c r="T399" s="16"/>
    </row>
    <row r="400">
      <c r="D400" s="12"/>
      <c r="E400" s="12"/>
      <c r="I400" s="13"/>
      <c r="L400" s="14"/>
      <c r="P400" s="13"/>
      <c r="S400" s="13"/>
      <c r="T400" s="16"/>
    </row>
    <row r="401">
      <c r="D401" s="12"/>
      <c r="E401" s="12"/>
      <c r="I401" s="13"/>
      <c r="L401" s="14"/>
      <c r="P401" s="13"/>
      <c r="S401" s="13"/>
      <c r="T401" s="16"/>
    </row>
    <row r="402">
      <c r="D402" s="12"/>
      <c r="E402" s="12"/>
      <c r="I402" s="13"/>
      <c r="L402" s="14"/>
      <c r="P402" s="13"/>
      <c r="S402" s="13"/>
      <c r="T402" s="16"/>
    </row>
    <row r="403">
      <c r="D403" s="12"/>
      <c r="E403" s="12"/>
      <c r="I403" s="13"/>
      <c r="L403" s="14"/>
      <c r="P403" s="13"/>
      <c r="S403" s="13"/>
      <c r="T403" s="16"/>
    </row>
    <row r="404">
      <c r="D404" s="12"/>
      <c r="E404" s="12"/>
      <c r="I404" s="13"/>
      <c r="L404" s="14"/>
      <c r="P404" s="13"/>
      <c r="S404" s="13"/>
      <c r="T404" s="16"/>
    </row>
    <row r="405">
      <c r="D405" s="12"/>
      <c r="E405" s="12"/>
      <c r="I405" s="13"/>
      <c r="L405" s="14"/>
      <c r="P405" s="13"/>
      <c r="S405" s="13"/>
      <c r="T405" s="16"/>
    </row>
    <row r="406">
      <c r="D406" s="12"/>
      <c r="E406" s="12"/>
      <c r="I406" s="13"/>
      <c r="L406" s="14"/>
      <c r="P406" s="13"/>
      <c r="S406" s="13"/>
      <c r="T406" s="16"/>
    </row>
    <row r="407">
      <c r="D407" s="12"/>
      <c r="E407" s="12"/>
      <c r="I407" s="13"/>
      <c r="L407" s="14"/>
      <c r="P407" s="13"/>
      <c r="S407" s="13"/>
      <c r="T407" s="16"/>
    </row>
    <row r="408">
      <c r="D408" s="12"/>
      <c r="E408" s="12"/>
      <c r="I408" s="13"/>
      <c r="L408" s="14"/>
      <c r="P408" s="13"/>
      <c r="S408" s="13"/>
      <c r="T408" s="16"/>
    </row>
    <row r="409">
      <c r="D409" s="12"/>
      <c r="E409" s="12"/>
      <c r="I409" s="13"/>
      <c r="L409" s="14"/>
      <c r="P409" s="13"/>
      <c r="S409" s="13"/>
      <c r="T409" s="16"/>
    </row>
    <row r="410">
      <c r="D410" s="12"/>
      <c r="E410" s="12"/>
      <c r="I410" s="13"/>
      <c r="L410" s="14"/>
      <c r="P410" s="13"/>
      <c r="S410" s="13"/>
      <c r="T410" s="16"/>
    </row>
    <row r="411">
      <c r="D411" s="12"/>
      <c r="E411" s="12"/>
      <c r="I411" s="13"/>
      <c r="L411" s="14"/>
      <c r="P411" s="13"/>
      <c r="S411" s="13"/>
      <c r="T411" s="16"/>
    </row>
    <row r="412">
      <c r="D412" s="12"/>
      <c r="E412" s="12"/>
      <c r="I412" s="13"/>
      <c r="L412" s="14"/>
      <c r="P412" s="13"/>
      <c r="S412" s="13"/>
      <c r="T412" s="16"/>
    </row>
    <row r="413">
      <c r="D413" s="12"/>
      <c r="E413" s="12"/>
      <c r="I413" s="13"/>
      <c r="L413" s="14"/>
      <c r="P413" s="13"/>
      <c r="S413" s="13"/>
      <c r="T413" s="16"/>
    </row>
    <row r="414">
      <c r="D414" s="12"/>
      <c r="E414" s="12"/>
      <c r="I414" s="13"/>
      <c r="L414" s="14"/>
      <c r="P414" s="13"/>
      <c r="S414" s="13"/>
      <c r="T414" s="16"/>
    </row>
    <row r="415">
      <c r="D415" s="12"/>
      <c r="E415" s="12"/>
      <c r="I415" s="13"/>
      <c r="L415" s="14"/>
      <c r="P415" s="13"/>
      <c r="S415" s="13"/>
      <c r="T415" s="16"/>
    </row>
    <row r="416">
      <c r="D416" s="12"/>
      <c r="E416" s="12"/>
      <c r="I416" s="13"/>
      <c r="L416" s="14"/>
      <c r="P416" s="13"/>
      <c r="S416" s="13"/>
      <c r="T416" s="16"/>
    </row>
    <row r="417">
      <c r="D417" s="12"/>
      <c r="E417" s="12"/>
      <c r="I417" s="13"/>
      <c r="L417" s="14"/>
      <c r="P417" s="13"/>
      <c r="S417" s="13"/>
      <c r="T417" s="16"/>
    </row>
    <row r="418">
      <c r="D418" s="12"/>
      <c r="E418" s="12"/>
      <c r="I418" s="13"/>
      <c r="L418" s="14"/>
      <c r="P418" s="13"/>
      <c r="S418" s="13"/>
      <c r="T418" s="16"/>
    </row>
    <row r="419">
      <c r="D419" s="12"/>
      <c r="E419" s="12"/>
      <c r="I419" s="13"/>
      <c r="L419" s="14"/>
      <c r="P419" s="13"/>
      <c r="S419" s="13"/>
      <c r="T419" s="16"/>
    </row>
    <row r="420">
      <c r="D420" s="12"/>
      <c r="E420" s="12"/>
      <c r="I420" s="13"/>
      <c r="L420" s="14"/>
      <c r="P420" s="13"/>
      <c r="S420" s="13"/>
      <c r="T420" s="16"/>
    </row>
    <row r="421">
      <c r="D421" s="12"/>
      <c r="E421" s="12"/>
      <c r="I421" s="13"/>
      <c r="L421" s="14"/>
      <c r="P421" s="13"/>
      <c r="S421" s="13"/>
      <c r="T421" s="16"/>
    </row>
    <row r="422">
      <c r="D422" s="12"/>
      <c r="E422" s="12"/>
      <c r="I422" s="13"/>
      <c r="L422" s="14"/>
      <c r="P422" s="13"/>
      <c r="S422" s="13"/>
      <c r="T422" s="16"/>
    </row>
    <row r="423">
      <c r="D423" s="12"/>
      <c r="E423" s="12"/>
      <c r="I423" s="13"/>
      <c r="L423" s="14"/>
      <c r="P423" s="13"/>
      <c r="S423" s="13"/>
      <c r="T423" s="16"/>
    </row>
    <row r="424">
      <c r="D424" s="12"/>
      <c r="E424" s="12"/>
      <c r="I424" s="13"/>
      <c r="L424" s="14"/>
      <c r="P424" s="13"/>
      <c r="S424" s="13"/>
      <c r="T424" s="16"/>
    </row>
    <row r="425">
      <c r="D425" s="12"/>
      <c r="E425" s="12"/>
      <c r="I425" s="13"/>
      <c r="L425" s="14"/>
      <c r="P425" s="13"/>
      <c r="S425" s="13"/>
      <c r="T425" s="16"/>
    </row>
    <row r="426">
      <c r="D426" s="12"/>
      <c r="E426" s="12"/>
      <c r="I426" s="13"/>
      <c r="L426" s="14"/>
      <c r="P426" s="13"/>
      <c r="S426" s="13"/>
      <c r="T426" s="16"/>
    </row>
    <row r="427">
      <c r="D427" s="12"/>
      <c r="E427" s="12"/>
      <c r="I427" s="13"/>
      <c r="L427" s="14"/>
      <c r="P427" s="13"/>
      <c r="S427" s="13"/>
      <c r="T427" s="16"/>
    </row>
    <row r="428">
      <c r="D428" s="12"/>
      <c r="E428" s="12"/>
      <c r="I428" s="13"/>
      <c r="L428" s="14"/>
      <c r="P428" s="13"/>
      <c r="S428" s="13"/>
      <c r="T428" s="16"/>
    </row>
    <row r="429">
      <c r="D429" s="12"/>
      <c r="E429" s="12"/>
      <c r="I429" s="13"/>
      <c r="L429" s="14"/>
      <c r="P429" s="13"/>
      <c r="S429" s="13"/>
      <c r="T429" s="16"/>
    </row>
    <row r="430">
      <c r="D430" s="12"/>
      <c r="E430" s="12"/>
      <c r="I430" s="13"/>
      <c r="L430" s="14"/>
      <c r="P430" s="13"/>
      <c r="S430" s="13"/>
      <c r="T430" s="16"/>
    </row>
    <row r="431">
      <c r="D431" s="12"/>
      <c r="E431" s="12"/>
      <c r="I431" s="13"/>
      <c r="L431" s="14"/>
      <c r="P431" s="13"/>
      <c r="S431" s="13"/>
      <c r="T431" s="16"/>
    </row>
    <row r="432">
      <c r="D432" s="12"/>
      <c r="E432" s="12"/>
      <c r="I432" s="13"/>
      <c r="L432" s="14"/>
      <c r="P432" s="13"/>
      <c r="S432" s="13"/>
      <c r="T432" s="16"/>
    </row>
    <row r="433">
      <c r="D433" s="12"/>
      <c r="E433" s="12"/>
      <c r="I433" s="13"/>
      <c r="L433" s="14"/>
      <c r="P433" s="13"/>
      <c r="S433" s="13"/>
      <c r="T433" s="16"/>
    </row>
    <row r="434">
      <c r="D434" s="12"/>
      <c r="E434" s="12"/>
      <c r="I434" s="13"/>
      <c r="L434" s="14"/>
      <c r="P434" s="13"/>
      <c r="S434" s="13"/>
      <c r="T434" s="16"/>
    </row>
    <row r="435">
      <c r="D435" s="12"/>
      <c r="E435" s="12"/>
      <c r="I435" s="13"/>
      <c r="L435" s="14"/>
      <c r="P435" s="13"/>
      <c r="S435" s="13"/>
      <c r="T435" s="16"/>
    </row>
    <row r="436">
      <c r="D436" s="12"/>
      <c r="E436" s="12"/>
      <c r="I436" s="13"/>
      <c r="L436" s="14"/>
      <c r="P436" s="13"/>
      <c r="S436" s="13"/>
      <c r="T436" s="16"/>
    </row>
    <row r="437">
      <c r="D437" s="12"/>
      <c r="E437" s="12"/>
      <c r="I437" s="13"/>
      <c r="L437" s="14"/>
      <c r="P437" s="13"/>
      <c r="S437" s="13"/>
      <c r="T437" s="16"/>
    </row>
    <row r="438">
      <c r="D438" s="12"/>
      <c r="E438" s="12"/>
      <c r="I438" s="13"/>
      <c r="L438" s="14"/>
      <c r="P438" s="13"/>
      <c r="S438" s="13"/>
      <c r="T438" s="16"/>
    </row>
    <row r="439">
      <c r="D439" s="12"/>
      <c r="E439" s="12"/>
      <c r="I439" s="13"/>
      <c r="L439" s="14"/>
      <c r="P439" s="13"/>
      <c r="S439" s="13"/>
      <c r="T439" s="16"/>
    </row>
    <row r="440">
      <c r="D440" s="12"/>
      <c r="E440" s="12"/>
      <c r="I440" s="13"/>
      <c r="L440" s="14"/>
      <c r="P440" s="13"/>
      <c r="S440" s="13"/>
      <c r="T440" s="16"/>
    </row>
    <row r="441">
      <c r="D441" s="12"/>
      <c r="E441" s="12"/>
      <c r="I441" s="13"/>
      <c r="L441" s="14"/>
      <c r="P441" s="13"/>
      <c r="S441" s="13"/>
      <c r="T441" s="16"/>
    </row>
    <row r="442">
      <c r="D442" s="12"/>
      <c r="E442" s="12"/>
      <c r="I442" s="13"/>
      <c r="L442" s="14"/>
      <c r="P442" s="13"/>
      <c r="S442" s="13"/>
      <c r="T442" s="16"/>
    </row>
    <row r="443">
      <c r="D443" s="12"/>
      <c r="E443" s="12"/>
      <c r="I443" s="13"/>
      <c r="L443" s="14"/>
      <c r="P443" s="13"/>
      <c r="S443" s="13"/>
      <c r="T443" s="16"/>
    </row>
    <row r="444">
      <c r="D444" s="12"/>
      <c r="E444" s="12"/>
      <c r="I444" s="13"/>
      <c r="L444" s="14"/>
      <c r="P444" s="13"/>
      <c r="S444" s="13"/>
      <c r="T444" s="16"/>
    </row>
    <row r="445">
      <c r="D445" s="12"/>
      <c r="E445" s="12"/>
      <c r="I445" s="13"/>
      <c r="L445" s="14"/>
      <c r="P445" s="13"/>
      <c r="S445" s="13"/>
      <c r="T445" s="16"/>
    </row>
    <row r="446">
      <c r="D446" s="12"/>
      <c r="E446" s="12"/>
      <c r="I446" s="13"/>
      <c r="L446" s="14"/>
      <c r="P446" s="13"/>
      <c r="S446" s="13"/>
      <c r="T446" s="16"/>
    </row>
    <row r="447">
      <c r="D447" s="12"/>
      <c r="E447" s="12"/>
      <c r="I447" s="13"/>
      <c r="L447" s="14"/>
      <c r="P447" s="13"/>
      <c r="S447" s="13"/>
      <c r="T447" s="16"/>
    </row>
    <row r="448">
      <c r="D448" s="12"/>
      <c r="E448" s="12"/>
      <c r="I448" s="13"/>
      <c r="L448" s="14"/>
      <c r="P448" s="13"/>
      <c r="S448" s="13"/>
      <c r="T448" s="16"/>
    </row>
    <row r="449">
      <c r="D449" s="12"/>
      <c r="E449" s="12"/>
      <c r="I449" s="13"/>
      <c r="L449" s="14"/>
      <c r="P449" s="13"/>
      <c r="S449" s="13"/>
      <c r="T449" s="16"/>
    </row>
    <row r="450">
      <c r="D450" s="12"/>
      <c r="E450" s="12"/>
      <c r="I450" s="13"/>
      <c r="L450" s="14"/>
      <c r="P450" s="13"/>
      <c r="S450" s="13"/>
      <c r="T450" s="16"/>
    </row>
    <row r="451">
      <c r="D451" s="12"/>
      <c r="E451" s="12"/>
      <c r="I451" s="13"/>
      <c r="L451" s="14"/>
      <c r="P451" s="13"/>
      <c r="S451" s="13"/>
      <c r="T451" s="16"/>
    </row>
    <row r="452">
      <c r="D452" s="12"/>
      <c r="E452" s="12"/>
      <c r="I452" s="13"/>
      <c r="L452" s="14"/>
      <c r="P452" s="13"/>
      <c r="S452" s="13"/>
      <c r="T452" s="16"/>
    </row>
    <row r="453">
      <c r="D453" s="12"/>
      <c r="E453" s="12"/>
      <c r="I453" s="13"/>
      <c r="L453" s="14"/>
      <c r="P453" s="13"/>
      <c r="S453" s="13"/>
      <c r="T453" s="16"/>
    </row>
    <row r="454">
      <c r="D454" s="12"/>
      <c r="E454" s="12"/>
      <c r="I454" s="13"/>
      <c r="L454" s="14"/>
      <c r="P454" s="13"/>
      <c r="S454" s="13"/>
      <c r="T454" s="16"/>
    </row>
    <row r="455">
      <c r="D455" s="12"/>
      <c r="E455" s="12"/>
      <c r="I455" s="13"/>
      <c r="L455" s="14"/>
      <c r="P455" s="13"/>
      <c r="S455" s="13"/>
      <c r="T455" s="16"/>
    </row>
    <row r="456">
      <c r="D456" s="12"/>
      <c r="E456" s="12"/>
      <c r="I456" s="13"/>
      <c r="L456" s="14"/>
      <c r="P456" s="13"/>
      <c r="S456" s="13"/>
      <c r="T456" s="16"/>
    </row>
    <row r="457">
      <c r="D457" s="12"/>
      <c r="E457" s="12"/>
      <c r="I457" s="13"/>
      <c r="L457" s="14"/>
      <c r="P457" s="13"/>
      <c r="S457" s="13"/>
      <c r="T457" s="16"/>
    </row>
    <row r="458">
      <c r="D458" s="12"/>
      <c r="E458" s="12"/>
      <c r="I458" s="13"/>
      <c r="L458" s="14"/>
      <c r="P458" s="13"/>
      <c r="S458" s="13"/>
      <c r="T458" s="16"/>
    </row>
    <row r="459">
      <c r="D459" s="12"/>
      <c r="E459" s="12"/>
      <c r="I459" s="13"/>
      <c r="L459" s="14"/>
      <c r="P459" s="13"/>
      <c r="S459" s="13"/>
      <c r="T459" s="16"/>
    </row>
    <row r="460">
      <c r="D460" s="12"/>
      <c r="E460" s="12"/>
      <c r="I460" s="13"/>
      <c r="L460" s="14"/>
      <c r="P460" s="13"/>
      <c r="S460" s="13"/>
      <c r="T460" s="16"/>
    </row>
    <row r="461">
      <c r="D461" s="12"/>
      <c r="E461" s="12"/>
      <c r="I461" s="13"/>
      <c r="L461" s="14"/>
      <c r="P461" s="13"/>
      <c r="S461" s="13"/>
      <c r="T461" s="16"/>
    </row>
    <row r="462">
      <c r="D462" s="12"/>
      <c r="E462" s="12"/>
      <c r="I462" s="13"/>
      <c r="L462" s="14"/>
      <c r="P462" s="13"/>
      <c r="S462" s="13"/>
      <c r="T462" s="16"/>
    </row>
    <row r="463">
      <c r="D463" s="12"/>
      <c r="E463" s="12"/>
      <c r="I463" s="13"/>
      <c r="L463" s="14"/>
      <c r="P463" s="13"/>
      <c r="S463" s="13"/>
      <c r="T463" s="16"/>
    </row>
    <row r="464">
      <c r="D464" s="12"/>
      <c r="E464" s="12"/>
      <c r="I464" s="13"/>
      <c r="L464" s="14"/>
      <c r="P464" s="13"/>
      <c r="S464" s="13"/>
      <c r="T464" s="16"/>
    </row>
    <row r="465">
      <c r="D465" s="12"/>
      <c r="E465" s="12"/>
      <c r="I465" s="13"/>
      <c r="L465" s="14"/>
      <c r="P465" s="13"/>
      <c r="S465" s="13"/>
      <c r="T465" s="16"/>
    </row>
    <row r="466">
      <c r="D466" s="12"/>
      <c r="E466" s="12"/>
      <c r="I466" s="13"/>
      <c r="L466" s="14"/>
      <c r="P466" s="13"/>
      <c r="S466" s="13"/>
      <c r="T466" s="16"/>
    </row>
    <row r="467">
      <c r="D467" s="12"/>
      <c r="E467" s="12"/>
      <c r="I467" s="13"/>
      <c r="L467" s="14"/>
      <c r="P467" s="13"/>
      <c r="S467" s="13"/>
      <c r="T467" s="16"/>
    </row>
    <row r="468">
      <c r="D468" s="12"/>
      <c r="E468" s="12"/>
      <c r="I468" s="13"/>
      <c r="L468" s="14"/>
      <c r="P468" s="13"/>
      <c r="S468" s="13"/>
      <c r="T468" s="16"/>
    </row>
    <row r="469">
      <c r="D469" s="12"/>
      <c r="E469" s="12"/>
      <c r="I469" s="13"/>
      <c r="L469" s="14"/>
      <c r="P469" s="13"/>
      <c r="S469" s="13"/>
      <c r="T469" s="16"/>
    </row>
    <row r="470">
      <c r="D470" s="12"/>
      <c r="E470" s="12"/>
      <c r="I470" s="13"/>
      <c r="L470" s="14"/>
      <c r="P470" s="13"/>
      <c r="S470" s="13"/>
      <c r="T470" s="16"/>
    </row>
    <row r="471">
      <c r="D471" s="12"/>
      <c r="E471" s="12"/>
      <c r="I471" s="13"/>
      <c r="L471" s="14"/>
      <c r="P471" s="13"/>
      <c r="S471" s="13"/>
      <c r="T471" s="16"/>
    </row>
    <row r="472">
      <c r="D472" s="12"/>
      <c r="E472" s="12"/>
      <c r="I472" s="13"/>
      <c r="L472" s="14"/>
      <c r="P472" s="13"/>
      <c r="S472" s="13"/>
      <c r="T472" s="16"/>
    </row>
    <row r="473">
      <c r="D473" s="12"/>
      <c r="E473" s="12"/>
      <c r="I473" s="13"/>
      <c r="L473" s="14"/>
      <c r="P473" s="13"/>
      <c r="S473" s="13"/>
      <c r="T473" s="16"/>
    </row>
    <row r="474">
      <c r="D474" s="12"/>
      <c r="E474" s="12"/>
      <c r="I474" s="13"/>
      <c r="L474" s="14"/>
      <c r="P474" s="13"/>
      <c r="S474" s="13"/>
      <c r="T474" s="16"/>
    </row>
    <row r="475">
      <c r="D475" s="12"/>
      <c r="E475" s="12"/>
      <c r="I475" s="13"/>
      <c r="L475" s="14"/>
      <c r="P475" s="13"/>
      <c r="S475" s="13"/>
      <c r="T475" s="16"/>
    </row>
    <row r="476">
      <c r="D476" s="12"/>
      <c r="E476" s="12"/>
      <c r="I476" s="13"/>
      <c r="L476" s="14"/>
      <c r="P476" s="13"/>
      <c r="S476" s="13"/>
      <c r="T476" s="16"/>
    </row>
    <row r="477">
      <c r="D477" s="12"/>
      <c r="E477" s="12"/>
      <c r="I477" s="13"/>
      <c r="L477" s="14"/>
      <c r="P477" s="13"/>
      <c r="S477" s="13"/>
      <c r="T477" s="16"/>
    </row>
    <row r="478">
      <c r="D478" s="12"/>
      <c r="E478" s="12"/>
      <c r="I478" s="13"/>
      <c r="L478" s="14"/>
      <c r="P478" s="13"/>
      <c r="S478" s="13"/>
      <c r="T478" s="16"/>
    </row>
    <row r="479">
      <c r="D479" s="12"/>
      <c r="E479" s="12"/>
      <c r="I479" s="13"/>
      <c r="L479" s="14"/>
      <c r="P479" s="13"/>
      <c r="S479" s="13"/>
      <c r="T479" s="16"/>
    </row>
    <row r="480">
      <c r="D480" s="12"/>
      <c r="E480" s="12"/>
      <c r="I480" s="13"/>
      <c r="L480" s="14"/>
      <c r="P480" s="13"/>
      <c r="S480" s="13"/>
      <c r="T480" s="16"/>
    </row>
    <row r="481">
      <c r="D481" s="12"/>
      <c r="E481" s="12"/>
      <c r="I481" s="13"/>
      <c r="L481" s="14"/>
      <c r="P481" s="13"/>
      <c r="S481" s="13"/>
      <c r="T481" s="16"/>
    </row>
    <row r="482">
      <c r="D482" s="12"/>
      <c r="E482" s="12"/>
      <c r="I482" s="13"/>
      <c r="L482" s="14"/>
      <c r="P482" s="13"/>
      <c r="S482" s="13"/>
      <c r="T482" s="16"/>
    </row>
    <row r="483">
      <c r="D483" s="12"/>
      <c r="E483" s="12"/>
      <c r="I483" s="13"/>
      <c r="L483" s="14"/>
      <c r="P483" s="13"/>
      <c r="S483" s="13"/>
      <c r="T483" s="16"/>
    </row>
    <row r="484">
      <c r="D484" s="12"/>
      <c r="E484" s="12"/>
      <c r="I484" s="13"/>
      <c r="L484" s="14"/>
      <c r="P484" s="13"/>
      <c r="S484" s="13"/>
      <c r="T484" s="16"/>
    </row>
    <row r="485">
      <c r="D485" s="12"/>
      <c r="E485" s="12"/>
      <c r="I485" s="13"/>
      <c r="L485" s="14"/>
      <c r="P485" s="13"/>
      <c r="S485" s="13"/>
      <c r="T485" s="16"/>
    </row>
    <row r="486">
      <c r="D486" s="12"/>
      <c r="E486" s="12"/>
      <c r="I486" s="13"/>
      <c r="L486" s="14"/>
      <c r="P486" s="13"/>
      <c r="S486" s="13"/>
      <c r="T486" s="16"/>
    </row>
    <row r="487">
      <c r="D487" s="12"/>
      <c r="E487" s="12"/>
      <c r="I487" s="13"/>
      <c r="L487" s="14"/>
      <c r="P487" s="13"/>
      <c r="S487" s="13"/>
      <c r="T487" s="16"/>
    </row>
    <row r="488">
      <c r="D488" s="12"/>
      <c r="E488" s="12"/>
      <c r="I488" s="13"/>
      <c r="L488" s="14"/>
      <c r="P488" s="13"/>
      <c r="S488" s="13"/>
      <c r="T488" s="16"/>
    </row>
    <row r="489">
      <c r="D489" s="12"/>
      <c r="E489" s="12"/>
      <c r="I489" s="13"/>
      <c r="L489" s="14"/>
      <c r="P489" s="13"/>
      <c r="S489" s="13"/>
      <c r="T489" s="16"/>
    </row>
    <row r="490">
      <c r="D490" s="12"/>
      <c r="E490" s="12"/>
      <c r="I490" s="13"/>
      <c r="L490" s="14"/>
      <c r="P490" s="13"/>
      <c r="S490" s="13"/>
      <c r="T490" s="16"/>
    </row>
    <row r="491">
      <c r="D491" s="12"/>
      <c r="E491" s="12"/>
      <c r="I491" s="13"/>
      <c r="L491" s="14"/>
      <c r="P491" s="13"/>
      <c r="S491" s="13"/>
      <c r="T491" s="16"/>
    </row>
    <row r="492">
      <c r="D492" s="12"/>
      <c r="E492" s="12"/>
      <c r="I492" s="13"/>
      <c r="L492" s="14"/>
      <c r="P492" s="13"/>
      <c r="S492" s="13"/>
      <c r="T492" s="16"/>
    </row>
    <row r="493">
      <c r="D493" s="12"/>
      <c r="E493" s="12"/>
      <c r="I493" s="13"/>
      <c r="L493" s="14"/>
      <c r="P493" s="13"/>
      <c r="S493" s="13"/>
      <c r="T493" s="16"/>
    </row>
    <row r="494">
      <c r="D494" s="12"/>
      <c r="E494" s="12"/>
      <c r="I494" s="13"/>
      <c r="L494" s="14"/>
      <c r="P494" s="13"/>
      <c r="S494" s="13"/>
      <c r="T494" s="16"/>
    </row>
    <row r="495">
      <c r="D495" s="12"/>
      <c r="E495" s="12"/>
      <c r="I495" s="13"/>
      <c r="L495" s="14"/>
      <c r="P495" s="13"/>
      <c r="S495" s="13"/>
      <c r="T495" s="16"/>
    </row>
    <row r="496">
      <c r="D496" s="12"/>
      <c r="E496" s="12"/>
      <c r="I496" s="13"/>
      <c r="L496" s="14"/>
      <c r="P496" s="13"/>
      <c r="S496" s="13"/>
      <c r="T496" s="16"/>
    </row>
    <row r="497">
      <c r="D497" s="12"/>
      <c r="E497" s="12"/>
      <c r="I497" s="13"/>
      <c r="L497" s="14"/>
      <c r="P497" s="13"/>
      <c r="S497" s="13"/>
      <c r="T497" s="16"/>
    </row>
    <row r="498">
      <c r="D498" s="12"/>
      <c r="E498" s="12"/>
      <c r="I498" s="13"/>
      <c r="L498" s="14"/>
      <c r="P498" s="13"/>
      <c r="S498" s="13"/>
      <c r="T498" s="16"/>
    </row>
    <row r="499">
      <c r="D499" s="12"/>
      <c r="E499" s="12"/>
      <c r="I499" s="13"/>
      <c r="L499" s="14"/>
      <c r="P499" s="13"/>
      <c r="S499" s="13"/>
      <c r="T499" s="16"/>
    </row>
    <row r="500">
      <c r="D500" s="12"/>
      <c r="E500" s="12"/>
      <c r="I500" s="13"/>
      <c r="L500" s="14"/>
      <c r="P500" s="13"/>
      <c r="S500" s="13"/>
      <c r="T500" s="16"/>
    </row>
    <row r="501">
      <c r="D501" s="12"/>
      <c r="E501" s="12"/>
      <c r="I501" s="13"/>
      <c r="L501" s="14"/>
      <c r="P501" s="13"/>
      <c r="S501" s="13"/>
      <c r="T501" s="16"/>
    </row>
    <row r="502">
      <c r="D502" s="12"/>
      <c r="E502" s="12"/>
      <c r="I502" s="13"/>
      <c r="L502" s="14"/>
      <c r="P502" s="13"/>
      <c r="S502" s="13"/>
      <c r="T502" s="16"/>
    </row>
    <row r="503">
      <c r="D503" s="12"/>
      <c r="E503" s="12"/>
      <c r="I503" s="13"/>
      <c r="L503" s="14"/>
      <c r="P503" s="13"/>
      <c r="S503" s="13"/>
      <c r="T503" s="16"/>
    </row>
    <row r="504">
      <c r="D504" s="12"/>
      <c r="E504" s="12"/>
      <c r="I504" s="13"/>
      <c r="L504" s="14"/>
      <c r="P504" s="13"/>
      <c r="S504" s="13"/>
      <c r="T504" s="16"/>
    </row>
    <row r="505">
      <c r="D505" s="12"/>
      <c r="E505" s="12"/>
      <c r="I505" s="13"/>
      <c r="L505" s="14"/>
      <c r="P505" s="13"/>
      <c r="S505" s="13"/>
      <c r="T505" s="16"/>
    </row>
    <row r="506">
      <c r="D506" s="12"/>
      <c r="E506" s="12"/>
      <c r="I506" s="13"/>
      <c r="L506" s="14"/>
      <c r="P506" s="13"/>
      <c r="S506" s="13"/>
      <c r="T506" s="16"/>
    </row>
    <row r="507">
      <c r="D507" s="12"/>
      <c r="E507" s="12"/>
      <c r="I507" s="13"/>
      <c r="L507" s="14"/>
      <c r="P507" s="13"/>
      <c r="S507" s="13"/>
      <c r="T507" s="16"/>
    </row>
    <row r="508">
      <c r="D508" s="12"/>
      <c r="E508" s="12"/>
      <c r="I508" s="13"/>
      <c r="L508" s="14"/>
      <c r="P508" s="13"/>
      <c r="S508" s="13"/>
      <c r="T508" s="16"/>
    </row>
    <row r="509">
      <c r="D509" s="12"/>
      <c r="E509" s="12"/>
      <c r="I509" s="13"/>
      <c r="L509" s="14"/>
      <c r="P509" s="13"/>
      <c r="S509" s="13"/>
      <c r="T509" s="16"/>
    </row>
    <row r="510">
      <c r="D510" s="12"/>
      <c r="E510" s="12"/>
      <c r="I510" s="13"/>
      <c r="L510" s="14"/>
      <c r="P510" s="13"/>
      <c r="S510" s="13"/>
      <c r="T510" s="16"/>
    </row>
    <row r="511">
      <c r="D511" s="12"/>
      <c r="E511" s="12"/>
      <c r="I511" s="13"/>
      <c r="L511" s="14"/>
      <c r="P511" s="13"/>
      <c r="S511" s="13"/>
      <c r="T511" s="16"/>
    </row>
    <row r="512">
      <c r="D512" s="12"/>
      <c r="E512" s="12"/>
      <c r="I512" s="13"/>
      <c r="L512" s="14"/>
      <c r="P512" s="13"/>
      <c r="S512" s="13"/>
      <c r="T512" s="16"/>
    </row>
    <row r="513">
      <c r="D513" s="12"/>
      <c r="E513" s="12"/>
      <c r="I513" s="13"/>
      <c r="L513" s="14"/>
      <c r="P513" s="13"/>
      <c r="S513" s="13"/>
      <c r="T513" s="16"/>
    </row>
    <row r="514">
      <c r="D514" s="12"/>
      <c r="E514" s="12"/>
      <c r="I514" s="13"/>
      <c r="L514" s="14"/>
      <c r="P514" s="13"/>
      <c r="S514" s="13"/>
      <c r="T514" s="16"/>
    </row>
    <row r="515">
      <c r="D515" s="12"/>
      <c r="E515" s="12"/>
      <c r="I515" s="13"/>
      <c r="L515" s="14"/>
      <c r="P515" s="13"/>
      <c r="S515" s="13"/>
      <c r="T515" s="16"/>
    </row>
    <row r="516">
      <c r="D516" s="12"/>
      <c r="E516" s="12"/>
      <c r="I516" s="13"/>
      <c r="L516" s="14"/>
      <c r="P516" s="13"/>
      <c r="S516" s="13"/>
      <c r="T516" s="16"/>
    </row>
    <row r="517">
      <c r="D517" s="12"/>
      <c r="E517" s="12"/>
      <c r="I517" s="13"/>
      <c r="L517" s="14"/>
      <c r="P517" s="13"/>
      <c r="S517" s="13"/>
      <c r="T517" s="16"/>
    </row>
    <row r="518">
      <c r="D518" s="12"/>
      <c r="E518" s="12"/>
      <c r="I518" s="13"/>
      <c r="L518" s="14"/>
      <c r="P518" s="13"/>
      <c r="S518" s="13"/>
      <c r="T518" s="16"/>
    </row>
    <row r="519">
      <c r="D519" s="12"/>
      <c r="E519" s="12"/>
      <c r="I519" s="13"/>
      <c r="L519" s="14"/>
      <c r="P519" s="13"/>
      <c r="S519" s="13"/>
      <c r="T519" s="16"/>
    </row>
    <row r="520">
      <c r="D520" s="12"/>
      <c r="E520" s="12"/>
      <c r="I520" s="13"/>
      <c r="L520" s="14"/>
      <c r="P520" s="13"/>
      <c r="S520" s="13"/>
      <c r="T520" s="16"/>
    </row>
    <row r="521">
      <c r="D521" s="12"/>
      <c r="E521" s="12"/>
      <c r="I521" s="13"/>
      <c r="L521" s="14"/>
      <c r="P521" s="13"/>
      <c r="S521" s="13"/>
      <c r="T521" s="16"/>
    </row>
    <row r="522">
      <c r="D522" s="12"/>
      <c r="E522" s="12"/>
      <c r="I522" s="13"/>
      <c r="L522" s="14"/>
      <c r="P522" s="13"/>
      <c r="S522" s="13"/>
      <c r="T522" s="16"/>
    </row>
    <row r="523">
      <c r="D523" s="12"/>
      <c r="E523" s="12"/>
      <c r="I523" s="13"/>
      <c r="L523" s="14"/>
      <c r="P523" s="13"/>
      <c r="S523" s="13"/>
      <c r="T523" s="16"/>
    </row>
    <row r="524">
      <c r="D524" s="12"/>
      <c r="E524" s="12"/>
      <c r="I524" s="13"/>
      <c r="L524" s="14"/>
      <c r="P524" s="13"/>
      <c r="S524" s="13"/>
      <c r="T524" s="16"/>
    </row>
    <row r="525">
      <c r="D525" s="12"/>
      <c r="E525" s="12"/>
      <c r="I525" s="13"/>
      <c r="L525" s="14"/>
      <c r="P525" s="13"/>
      <c r="S525" s="13"/>
      <c r="T525" s="16"/>
    </row>
    <row r="526">
      <c r="D526" s="12"/>
      <c r="E526" s="12"/>
      <c r="I526" s="13"/>
      <c r="L526" s="14"/>
      <c r="P526" s="13"/>
      <c r="S526" s="13"/>
      <c r="T526" s="16"/>
    </row>
    <row r="527">
      <c r="D527" s="12"/>
      <c r="E527" s="12"/>
      <c r="I527" s="13"/>
      <c r="L527" s="14"/>
      <c r="P527" s="13"/>
      <c r="S527" s="13"/>
      <c r="T527" s="16"/>
    </row>
    <row r="528">
      <c r="D528" s="12"/>
      <c r="E528" s="12"/>
      <c r="I528" s="13"/>
      <c r="L528" s="14"/>
      <c r="P528" s="13"/>
      <c r="S528" s="13"/>
      <c r="T528" s="16"/>
    </row>
    <row r="529">
      <c r="D529" s="12"/>
      <c r="E529" s="12"/>
      <c r="I529" s="13"/>
      <c r="L529" s="14"/>
      <c r="P529" s="13"/>
      <c r="S529" s="13"/>
      <c r="T529" s="16"/>
    </row>
    <row r="530">
      <c r="D530" s="12"/>
      <c r="E530" s="12"/>
      <c r="I530" s="13"/>
      <c r="L530" s="14"/>
      <c r="P530" s="13"/>
      <c r="S530" s="13"/>
      <c r="T530" s="16"/>
    </row>
    <row r="531">
      <c r="D531" s="12"/>
      <c r="E531" s="12"/>
      <c r="I531" s="13"/>
      <c r="L531" s="14"/>
      <c r="P531" s="13"/>
      <c r="S531" s="13"/>
      <c r="T531" s="16"/>
    </row>
    <row r="532">
      <c r="D532" s="12"/>
      <c r="E532" s="12"/>
      <c r="I532" s="13"/>
      <c r="L532" s="14"/>
      <c r="P532" s="13"/>
      <c r="S532" s="13"/>
      <c r="T532" s="16"/>
    </row>
    <row r="533">
      <c r="D533" s="12"/>
      <c r="E533" s="12"/>
      <c r="I533" s="13"/>
      <c r="L533" s="14"/>
      <c r="P533" s="13"/>
      <c r="S533" s="13"/>
      <c r="T533" s="16"/>
    </row>
    <row r="534">
      <c r="D534" s="12"/>
      <c r="E534" s="12"/>
      <c r="I534" s="13"/>
      <c r="L534" s="14"/>
      <c r="P534" s="13"/>
      <c r="S534" s="13"/>
      <c r="T534" s="16"/>
    </row>
    <row r="535">
      <c r="D535" s="12"/>
      <c r="E535" s="12"/>
      <c r="I535" s="13"/>
      <c r="L535" s="14"/>
      <c r="P535" s="13"/>
      <c r="S535" s="13"/>
      <c r="T535" s="16"/>
    </row>
    <row r="536">
      <c r="D536" s="12"/>
      <c r="E536" s="12"/>
      <c r="I536" s="13"/>
      <c r="L536" s="14"/>
      <c r="P536" s="13"/>
      <c r="S536" s="13"/>
      <c r="T536" s="16"/>
    </row>
    <row r="537">
      <c r="D537" s="12"/>
      <c r="E537" s="12"/>
      <c r="I537" s="13"/>
      <c r="L537" s="14"/>
      <c r="P537" s="13"/>
      <c r="S537" s="13"/>
      <c r="T537" s="16"/>
    </row>
    <row r="538">
      <c r="D538" s="12"/>
      <c r="E538" s="12"/>
      <c r="I538" s="13"/>
      <c r="L538" s="14"/>
      <c r="P538" s="13"/>
      <c r="S538" s="13"/>
      <c r="T538" s="16"/>
    </row>
    <row r="539">
      <c r="D539" s="12"/>
      <c r="E539" s="12"/>
      <c r="I539" s="13"/>
      <c r="L539" s="14"/>
      <c r="P539" s="13"/>
      <c r="S539" s="13"/>
      <c r="T539" s="16"/>
    </row>
    <row r="540">
      <c r="D540" s="12"/>
      <c r="E540" s="12"/>
      <c r="I540" s="13"/>
      <c r="L540" s="14"/>
      <c r="P540" s="13"/>
      <c r="S540" s="13"/>
      <c r="T540" s="16"/>
    </row>
    <row r="541">
      <c r="D541" s="12"/>
      <c r="E541" s="12"/>
      <c r="I541" s="13"/>
      <c r="L541" s="14"/>
      <c r="P541" s="13"/>
      <c r="S541" s="13"/>
      <c r="T541" s="16"/>
    </row>
    <row r="542">
      <c r="D542" s="12"/>
      <c r="E542" s="12"/>
      <c r="I542" s="13"/>
      <c r="L542" s="14"/>
      <c r="P542" s="13"/>
      <c r="S542" s="13"/>
      <c r="T542" s="16"/>
    </row>
    <row r="543">
      <c r="D543" s="12"/>
      <c r="E543" s="12"/>
      <c r="I543" s="13"/>
      <c r="L543" s="14"/>
      <c r="P543" s="13"/>
      <c r="S543" s="13"/>
      <c r="T543" s="16"/>
    </row>
    <row r="544">
      <c r="D544" s="12"/>
      <c r="E544" s="12"/>
      <c r="I544" s="13"/>
      <c r="L544" s="14"/>
      <c r="P544" s="13"/>
      <c r="S544" s="13"/>
      <c r="T544" s="16"/>
    </row>
    <row r="545">
      <c r="D545" s="12"/>
      <c r="E545" s="12"/>
      <c r="I545" s="13"/>
      <c r="L545" s="14"/>
      <c r="P545" s="13"/>
      <c r="S545" s="13"/>
      <c r="T545" s="16"/>
    </row>
    <row r="546">
      <c r="D546" s="12"/>
      <c r="E546" s="12"/>
      <c r="I546" s="13"/>
      <c r="L546" s="14"/>
      <c r="P546" s="13"/>
      <c r="S546" s="13"/>
      <c r="T546" s="16"/>
    </row>
    <row r="547">
      <c r="D547" s="12"/>
      <c r="E547" s="12"/>
      <c r="I547" s="13"/>
      <c r="L547" s="14"/>
      <c r="P547" s="13"/>
      <c r="S547" s="13"/>
      <c r="T547" s="16"/>
    </row>
    <row r="548">
      <c r="D548" s="12"/>
      <c r="E548" s="12"/>
      <c r="I548" s="13"/>
      <c r="L548" s="14"/>
      <c r="P548" s="13"/>
      <c r="S548" s="13"/>
      <c r="T548" s="16"/>
    </row>
    <row r="549">
      <c r="D549" s="12"/>
      <c r="E549" s="12"/>
      <c r="I549" s="13"/>
      <c r="L549" s="14"/>
      <c r="P549" s="13"/>
      <c r="S549" s="13"/>
      <c r="T549" s="16"/>
    </row>
    <row r="550">
      <c r="D550" s="12"/>
      <c r="E550" s="12"/>
      <c r="I550" s="13"/>
      <c r="L550" s="14"/>
      <c r="P550" s="13"/>
      <c r="S550" s="13"/>
      <c r="T550" s="16"/>
    </row>
    <row r="551">
      <c r="D551" s="12"/>
      <c r="E551" s="12"/>
      <c r="I551" s="13"/>
      <c r="L551" s="14"/>
      <c r="P551" s="13"/>
      <c r="S551" s="13"/>
      <c r="T551" s="16"/>
    </row>
    <row r="552">
      <c r="D552" s="12"/>
      <c r="E552" s="12"/>
      <c r="I552" s="13"/>
      <c r="L552" s="14"/>
      <c r="P552" s="13"/>
      <c r="S552" s="13"/>
      <c r="T552" s="16"/>
    </row>
    <row r="553">
      <c r="D553" s="12"/>
      <c r="E553" s="12"/>
      <c r="I553" s="13"/>
      <c r="L553" s="14"/>
      <c r="P553" s="13"/>
      <c r="S553" s="13"/>
      <c r="T553" s="16"/>
    </row>
    <row r="554">
      <c r="D554" s="12"/>
      <c r="E554" s="12"/>
      <c r="I554" s="13"/>
      <c r="L554" s="14"/>
      <c r="P554" s="13"/>
      <c r="S554" s="13"/>
      <c r="T554" s="16"/>
    </row>
    <row r="555">
      <c r="D555" s="12"/>
      <c r="E555" s="12"/>
      <c r="I555" s="13"/>
      <c r="L555" s="14"/>
      <c r="P555" s="13"/>
      <c r="S555" s="13"/>
      <c r="T555" s="16"/>
    </row>
    <row r="556">
      <c r="D556" s="12"/>
      <c r="E556" s="12"/>
      <c r="I556" s="13"/>
      <c r="L556" s="14"/>
      <c r="P556" s="13"/>
      <c r="S556" s="13"/>
      <c r="T556" s="16"/>
    </row>
    <row r="557">
      <c r="D557" s="12"/>
      <c r="E557" s="12"/>
      <c r="I557" s="13"/>
      <c r="L557" s="14"/>
      <c r="P557" s="13"/>
      <c r="S557" s="13"/>
      <c r="T557" s="16"/>
    </row>
    <row r="558">
      <c r="D558" s="12"/>
      <c r="E558" s="12"/>
      <c r="I558" s="13"/>
      <c r="L558" s="14"/>
      <c r="P558" s="13"/>
      <c r="S558" s="13"/>
      <c r="T558" s="16"/>
    </row>
    <row r="559">
      <c r="D559" s="12"/>
      <c r="E559" s="12"/>
      <c r="I559" s="13"/>
      <c r="L559" s="14"/>
      <c r="P559" s="13"/>
      <c r="S559" s="13"/>
      <c r="T559" s="16"/>
    </row>
    <row r="560">
      <c r="D560" s="12"/>
      <c r="E560" s="12"/>
      <c r="I560" s="13"/>
      <c r="L560" s="14"/>
      <c r="P560" s="13"/>
      <c r="S560" s="13"/>
      <c r="T560" s="16"/>
    </row>
    <row r="561">
      <c r="D561" s="12"/>
      <c r="E561" s="12"/>
      <c r="I561" s="13"/>
      <c r="L561" s="14"/>
      <c r="P561" s="13"/>
      <c r="S561" s="13"/>
      <c r="T561" s="16"/>
    </row>
    <row r="562">
      <c r="D562" s="12"/>
      <c r="E562" s="12"/>
      <c r="I562" s="13"/>
      <c r="L562" s="14"/>
      <c r="P562" s="13"/>
      <c r="S562" s="13"/>
      <c r="T562" s="16"/>
    </row>
    <row r="563">
      <c r="D563" s="12"/>
      <c r="E563" s="12"/>
      <c r="I563" s="13"/>
      <c r="L563" s="14"/>
      <c r="P563" s="13"/>
      <c r="S563" s="13"/>
      <c r="T563" s="16"/>
    </row>
    <row r="564">
      <c r="D564" s="12"/>
      <c r="E564" s="12"/>
      <c r="I564" s="13"/>
      <c r="L564" s="14"/>
      <c r="P564" s="13"/>
      <c r="S564" s="13"/>
      <c r="T564" s="16"/>
    </row>
    <row r="565">
      <c r="D565" s="12"/>
      <c r="E565" s="12"/>
      <c r="I565" s="13"/>
      <c r="L565" s="14"/>
      <c r="P565" s="13"/>
      <c r="S565" s="13"/>
      <c r="T565" s="16"/>
    </row>
    <row r="566">
      <c r="D566" s="12"/>
      <c r="E566" s="12"/>
      <c r="I566" s="13"/>
      <c r="L566" s="14"/>
      <c r="P566" s="13"/>
      <c r="S566" s="13"/>
      <c r="T566" s="16"/>
    </row>
    <row r="567">
      <c r="D567" s="12"/>
      <c r="E567" s="12"/>
      <c r="I567" s="13"/>
      <c r="L567" s="14"/>
      <c r="P567" s="13"/>
      <c r="S567" s="13"/>
      <c r="T567" s="16"/>
    </row>
    <row r="568">
      <c r="D568" s="12"/>
      <c r="E568" s="12"/>
      <c r="I568" s="13"/>
      <c r="L568" s="14"/>
      <c r="P568" s="13"/>
      <c r="S568" s="13"/>
      <c r="T568" s="16"/>
    </row>
    <row r="569">
      <c r="D569" s="12"/>
      <c r="E569" s="12"/>
      <c r="I569" s="13"/>
      <c r="L569" s="14"/>
      <c r="P569" s="13"/>
      <c r="S569" s="13"/>
      <c r="T569" s="16"/>
    </row>
    <row r="570">
      <c r="D570" s="12"/>
      <c r="E570" s="12"/>
      <c r="I570" s="13"/>
      <c r="L570" s="14"/>
      <c r="P570" s="13"/>
      <c r="S570" s="13"/>
      <c r="T570" s="16"/>
    </row>
    <row r="571">
      <c r="D571" s="12"/>
      <c r="E571" s="12"/>
      <c r="I571" s="13"/>
      <c r="L571" s="14"/>
      <c r="P571" s="13"/>
      <c r="S571" s="13"/>
      <c r="T571" s="16"/>
    </row>
    <row r="572">
      <c r="D572" s="12"/>
      <c r="E572" s="12"/>
      <c r="I572" s="13"/>
      <c r="L572" s="14"/>
      <c r="P572" s="13"/>
      <c r="S572" s="13"/>
      <c r="T572" s="16"/>
    </row>
    <row r="573">
      <c r="D573" s="12"/>
      <c r="E573" s="12"/>
      <c r="I573" s="13"/>
      <c r="L573" s="14"/>
      <c r="P573" s="13"/>
      <c r="S573" s="13"/>
      <c r="T573" s="16"/>
    </row>
    <row r="574">
      <c r="D574" s="12"/>
      <c r="E574" s="12"/>
      <c r="I574" s="13"/>
      <c r="L574" s="14"/>
      <c r="P574" s="13"/>
      <c r="S574" s="13"/>
      <c r="T574" s="16"/>
    </row>
    <row r="575">
      <c r="D575" s="12"/>
      <c r="E575" s="12"/>
      <c r="I575" s="13"/>
      <c r="L575" s="14"/>
      <c r="P575" s="13"/>
      <c r="S575" s="13"/>
      <c r="T575" s="16"/>
    </row>
    <row r="576">
      <c r="D576" s="12"/>
      <c r="E576" s="12"/>
      <c r="I576" s="13"/>
      <c r="L576" s="14"/>
      <c r="P576" s="13"/>
      <c r="S576" s="13"/>
      <c r="T576" s="16"/>
    </row>
    <row r="577">
      <c r="D577" s="12"/>
      <c r="E577" s="12"/>
      <c r="I577" s="13"/>
      <c r="L577" s="14"/>
      <c r="P577" s="13"/>
      <c r="S577" s="13"/>
      <c r="T577" s="16"/>
    </row>
    <row r="578">
      <c r="D578" s="12"/>
      <c r="E578" s="12"/>
      <c r="I578" s="13"/>
      <c r="L578" s="14"/>
      <c r="P578" s="13"/>
      <c r="S578" s="13"/>
      <c r="T578" s="16"/>
    </row>
    <row r="579">
      <c r="D579" s="12"/>
      <c r="E579" s="12"/>
      <c r="I579" s="13"/>
      <c r="L579" s="14"/>
      <c r="P579" s="13"/>
      <c r="S579" s="13"/>
      <c r="T579" s="16"/>
    </row>
    <row r="580">
      <c r="D580" s="12"/>
      <c r="E580" s="12"/>
      <c r="I580" s="13"/>
      <c r="L580" s="14"/>
      <c r="P580" s="13"/>
      <c r="S580" s="13"/>
      <c r="T580" s="16"/>
    </row>
    <row r="581">
      <c r="D581" s="12"/>
      <c r="E581" s="12"/>
      <c r="I581" s="13"/>
      <c r="L581" s="14"/>
      <c r="P581" s="13"/>
      <c r="S581" s="13"/>
      <c r="T581" s="16"/>
    </row>
    <row r="582">
      <c r="D582" s="12"/>
      <c r="E582" s="12"/>
      <c r="I582" s="13"/>
      <c r="L582" s="14"/>
      <c r="P582" s="13"/>
      <c r="S582" s="13"/>
      <c r="T582" s="16"/>
    </row>
    <row r="583">
      <c r="D583" s="12"/>
      <c r="E583" s="12"/>
      <c r="I583" s="13"/>
      <c r="L583" s="14"/>
      <c r="P583" s="13"/>
      <c r="S583" s="13"/>
      <c r="T583" s="16"/>
    </row>
    <row r="584">
      <c r="D584" s="12"/>
      <c r="E584" s="12"/>
      <c r="I584" s="13"/>
      <c r="L584" s="14"/>
      <c r="P584" s="13"/>
      <c r="S584" s="13"/>
      <c r="T584" s="16"/>
    </row>
    <row r="585">
      <c r="D585" s="12"/>
      <c r="E585" s="12"/>
      <c r="I585" s="13"/>
      <c r="L585" s="14"/>
      <c r="P585" s="13"/>
      <c r="S585" s="13"/>
      <c r="T585" s="16"/>
    </row>
    <row r="586">
      <c r="D586" s="12"/>
      <c r="E586" s="12"/>
      <c r="I586" s="13"/>
      <c r="L586" s="14"/>
      <c r="P586" s="13"/>
      <c r="S586" s="13"/>
      <c r="T586" s="16"/>
    </row>
    <row r="587">
      <c r="D587" s="12"/>
      <c r="E587" s="12"/>
      <c r="I587" s="13"/>
      <c r="L587" s="14"/>
      <c r="P587" s="13"/>
      <c r="S587" s="13"/>
      <c r="T587" s="16"/>
    </row>
    <row r="588">
      <c r="D588" s="12"/>
      <c r="E588" s="12"/>
      <c r="I588" s="13"/>
      <c r="L588" s="14"/>
      <c r="P588" s="13"/>
      <c r="S588" s="13"/>
      <c r="T588" s="16"/>
    </row>
    <row r="589">
      <c r="D589" s="12"/>
      <c r="E589" s="12"/>
      <c r="I589" s="13"/>
      <c r="L589" s="14"/>
      <c r="P589" s="13"/>
      <c r="S589" s="13"/>
      <c r="T589" s="16"/>
    </row>
    <row r="590">
      <c r="D590" s="12"/>
      <c r="E590" s="12"/>
      <c r="I590" s="13"/>
      <c r="L590" s="14"/>
      <c r="P590" s="13"/>
      <c r="S590" s="13"/>
      <c r="T590" s="16"/>
    </row>
    <row r="591">
      <c r="D591" s="12"/>
      <c r="E591" s="12"/>
      <c r="I591" s="13"/>
      <c r="L591" s="14"/>
      <c r="P591" s="13"/>
      <c r="S591" s="13"/>
      <c r="T591" s="16"/>
    </row>
    <row r="592">
      <c r="D592" s="12"/>
      <c r="E592" s="12"/>
      <c r="I592" s="13"/>
      <c r="L592" s="14"/>
      <c r="P592" s="13"/>
      <c r="S592" s="13"/>
      <c r="T592" s="16"/>
    </row>
    <row r="593">
      <c r="D593" s="12"/>
      <c r="E593" s="12"/>
      <c r="I593" s="13"/>
      <c r="L593" s="14"/>
      <c r="P593" s="13"/>
      <c r="S593" s="13"/>
      <c r="T593" s="16"/>
    </row>
    <row r="594">
      <c r="D594" s="12"/>
      <c r="E594" s="12"/>
      <c r="I594" s="13"/>
      <c r="L594" s="14"/>
      <c r="P594" s="13"/>
      <c r="S594" s="13"/>
      <c r="T594" s="16"/>
    </row>
    <row r="595">
      <c r="D595" s="12"/>
      <c r="E595" s="12"/>
      <c r="I595" s="13"/>
      <c r="L595" s="14"/>
      <c r="P595" s="13"/>
      <c r="S595" s="13"/>
      <c r="T595" s="16"/>
    </row>
    <row r="596">
      <c r="D596" s="12"/>
      <c r="E596" s="12"/>
      <c r="I596" s="13"/>
      <c r="L596" s="14"/>
      <c r="P596" s="13"/>
      <c r="S596" s="13"/>
      <c r="T596" s="16"/>
    </row>
    <row r="597">
      <c r="D597" s="12"/>
      <c r="E597" s="12"/>
      <c r="I597" s="13"/>
      <c r="L597" s="14"/>
      <c r="P597" s="13"/>
      <c r="S597" s="13"/>
      <c r="T597" s="16"/>
    </row>
    <row r="598">
      <c r="D598" s="12"/>
      <c r="E598" s="12"/>
      <c r="I598" s="13"/>
      <c r="L598" s="14"/>
      <c r="P598" s="13"/>
      <c r="S598" s="13"/>
      <c r="T598" s="16"/>
    </row>
    <row r="599">
      <c r="D599" s="12"/>
      <c r="E599" s="12"/>
      <c r="I599" s="13"/>
      <c r="L599" s="14"/>
      <c r="P599" s="13"/>
      <c r="S599" s="13"/>
      <c r="T599" s="16"/>
    </row>
    <row r="600">
      <c r="D600" s="12"/>
      <c r="E600" s="12"/>
      <c r="I600" s="13"/>
      <c r="L600" s="14"/>
      <c r="P600" s="13"/>
      <c r="S600" s="13"/>
      <c r="T600" s="16"/>
    </row>
    <row r="601">
      <c r="D601" s="12"/>
      <c r="E601" s="12"/>
      <c r="I601" s="13"/>
      <c r="L601" s="14"/>
      <c r="P601" s="13"/>
      <c r="S601" s="13"/>
      <c r="T601" s="16"/>
    </row>
    <row r="602">
      <c r="D602" s="12"/>
      <c r="E602" s="12"/>
      <c r="I602" s="13"/>
      <c r="L602" s="14"/>
      <c r="P602" s="13"/>
      <c r="S602" s="13"/>
      <c r="T602" s="16"/>
    </row>
    <row r="603">
      <c r="D603" s="12"/>
      <c r="E603" s="12"/>
      <c r="I603" s="13"/>
      <c r="L603" s="14"/>
      <c r="P603" s="13"/>
      <c r="S603" s="13"/>
      <c r="T603" s="16"/>
    </row>
    <row r="604">
      <c r="D604" s="12"/>
      <c r="E604" s="12"/>
      <c r="I604" s="13"/>
      <c r="L604" s="14"/>
      <c r="P604" s="13"/>
      <c r="S604" s="13"/>
      <c r="T604" s="16"/>
    </row>
    <row r="605">
      <c r="D605" s="12"/>
      <c r="E605" s="12"/>
      <c r="I605" s="13"/>
      <c r="L605" s="14"/>
      <c r="P605" s="13"/>
      <c r="S605" s="13"/>
      <c r="T605" s="16"/>
    </row>
    <row r="606">
      <c r="D606" s="12"/>
      <c r="E606" s="12"/>
      <c r="I606" s="13"/>
      <c r="L606" s="14"/>
      <c r="P606" s="13"/>
      <c r="S606" s="13"/>
      <c r="T606" s="16"/>
    </row>
    <row r="607">
      <c r="D607" s="12"/>
      <c r="E607" s="12"/>
      <c r="I607" s="13"/>
      <c r="L607" s="14"/>
      <c r="P607" s="13"/>
      <c r="S607" s="13"/>
      <c r="T607" s="16"/>
    </row>
    <row r="608">
      <c r="D608" s="12"/>
      <c r="E608" s="12"/>
      <c r="I608" s="13"/>
      <c r="L608" s="14"/>
      <c r="P608" s="13"/>
      <c r="S608" s="13"/>
      <c r="T608" s="16"/>
    </row>
    <row r="609">
      <c r="D609" s="12"/>
      <c r="E609" s="12"/>
      <c r="I609" s="13"/>
      <c r="L609" s="14"/>
      <c r="P609" s="13"/>
      <c r="S609" s="13"/>
      <c r="T609" s="16"/>
    </row>
    <row r="610">
      <c r="D610" s="12"/>
      <c r="E610" s="12"/>
      <c r="I610" s="13"/>
      <c r="L610" s="14"/>
      <c r="P610" s="13"/>
      <c r="S610" s="13"/>
      <c r="T610" s="16"/>
    </row>
    <row r="611">
      <c r="D611" s="12"/>
      <c r="E611" s="12"/>
      <c r="I611" s="13"/>
      <c r="L611" s="14"/>
      <c r="P611" s="13"/>
      <c r="S611" s="13"/>
      <c r="T611" s="16"/>
    </row>
    <row r="612">
      <c r="D612" s="12"/>
      <c r="E612" s="12"/>
      <c r="I612" s="13"/>
      <c r="L612" s="14"/>
      <c r="P612" s="13"/>
      <c r="S612" s="13"/>
      <c r="T612" s="16"/>
    </row>
    <row r="613">
      <c r="D613" s="12"/>
      <c r="E613" s="12"/>
      <c r="I613" s="13"/>
      <c r="L613" s="14"/>
      <c r="P613" s="13"/>
      <c r="S613" s="13"/>
      <c r="T613" s="16"/>
    </row>
    <row r="614">
      <c r="D614" s="12"/>
      <c r="E614" s="12"/>
      <c r="I614" s="13"/>
      <c r="L614" s="14"/>
      <c r="P614" s="13"/>
      <c r="S614" s="13"/>
      <c r="T614" s="16"/>
    </row>
    <row r="615">
      <c r="D615" s="12"/>
      <c r="E615" s="12"/>
      <c r="I615" s="13"/>
      <c r="L615" s="14"/>
      <c r="P615" s="13"/>
      <c r="S615" s="13"/>
      <c r="T615" s="16"/>
    </row>
    <row r="616">
      <c r="D616" s="12"/>
      <c r="E616" s="12"/>
      <c r="I616" s="13"/>
      <c r="L616" s="14"/>
      <c r="P616" s="13"/>
      <c r="S616" s="13"/>
      <c r="T616" s="16"/>
    </row>
    <row r="617">
      <c r="D617" s="12"/>
      <c r="E617" s="12"/>
      <c r="I617" s="13"/>
      <c r="L617" s="14"/>
      <c r="P617" s="13"/>
      <c r="S617" s="13"/>
      <c r="T617" s="16"/>
    </row>
    <row r="618">
      <c r="D618" s="12"/>
      <c r="E618" s="12"/>
      <c r="I618" s="13"/>
      <c r="L618" s="14"/>
      <c r="P618" s="13"/>
      <c r="S618" s="13"/>
      <c r="T618" s="16"/>
    </row>
    <row r="619">
      <c r="D619" s="12"/>
      <c r="E619" s="12"/>
      <c r="I619" s="13"/>
      <c r="L619" s="14"/>
      <c r="P619" s="13"/>
      <c r="S619" s="13"/>
      <c r="T619" s="16"/>
    </row>
    <row r="620">
      <c r="D620" s="12"/>
      <c r="E620" s="12"/>
      <c r="I620" s="13"/>
      <c r="L620" s="14"/>
      <c r="P620" s="13"/>
      <c r="S620" s="13"/>
      <c r="T620" s="16"/>
    </row>
    <row r="621">
      <c r="D621" s="12"/>
      <c r="E621" s="12"/>
      <c r="I621" s="13"/>
      <c r="L621" s="14"/>
      <c r="P621" s="13"/>
      <c r="S621" s="13"/>
      <c r="T621" s="16"/>
    </row>
    <row r="622">
      <c r="D622" s="12"/>
      <c r="E622" s="12"/>
      <c r="I622" s="13"/>
      <c r="L622" s="14"/>
      <c r="P622" s="13"/>
      <c r="S622" s="13"/>
      <c r="T622" s="16"/>
    </row>
    <row r="623">
      <c r="D623" s="12"/>
      <c r="E623" s="12"/>
      <c r="I623" s="13"/>
      <c r="L623" s="14"/>
      <c r="P623" s="13"/>
      <c r="S623" s="13"/>
      <c r="T623" s="16"/>
    </row>
    <row r="624">
      <c r="D624" s="12"/>
      <c r="E624" s="12"/>
      <c r="I624" s="13"/>
      <c r="L624" s="14"/>
      <c r="P624" s="13"/>
      <c r="S624" s="13"/>
      <c r="T624" s="16"/>
    </row>
    <row r="625">
      <c r="D625" s="12"/>
      <c r="E625" s="12"/>
      <c r="I625" s="13"/>
      <c r="L625" s="14"/>
      <c r="P625" s="13"/>
      <c r="S625" s="13"/>
      <c r="T625" s="16"/>
    </row>
    <row r="626">
      <c r="D626" s="12"/>
      <c r="E626" s="12"/>
      <c r="I626" s="13"/>
      <c r="L626" s="14"/>
      <c r="P626" s="13"/>
      <c r="S626" s="13"/>
      <c r="T626" s="16"/>
    </row>
    <row r="627">
      <c r="D627" s="12"/>
      <c r="E627" s="12"/>
      <c r="I627" s="13"/>
      <c r="L627" s="14"/>
      <c r="P627" s="13"/>
      <c r="S627" s="13"/>
      <c r="T627" s="16"/>
    </row>
    <row r="628">
      <c r="D628" s="12"/>
      <c r="E628" s="12"/>
      <c r="I628" s="13"/>
      <c r="L628" s="14"/>
      <c r="P628" s="13"/>
      <c r="S628" s="13"/>
      <c r="T628" s="16"/>
    </row>
    <row r="629">
      <c r="D629" s="12"/>
      <c r="E629" s="12"/>
      <c r="I629" s="13"/>
      <c r="L629" s="14"/>
      <c r="P629" s="13"/>
      <c r="S629" s="13"/>
      <c r="T629" s="16"/>
    </row>
    <row r="630">
      <c r="D630" s="12"/>
      <c r="E630" s="12"/>
      <c r="I630" s="13"/>
      <c r="L630" s="14"/>
      <c r="P630" s="13"/>
      <c r="S630" s="13"/>
      <c r="T630" s="16"/>
    </row>
    <row r="631">
      <c r="D631" s="12"/>
      <c r="E631" s="12"/>
      <c r="I631" s="13"/>
      <c r="L631" s="14"/>
      <c r="P631" s="13"/>
      <c r="S631" s="13"/>
      <c r="T631" s="16"/>
    </row>
    <row r="632">
      <c r="D632" s="12"/>
      <c r="E632" s="12"/>
      <c r="I632" s="13"/>
      <c r="L632" s="14"/>
      <c r="P632" s="13"/>
      <c r="S632" s="13"/>
      <c r="T632" s="16"/>
    </row>
    <row r="633">
      <c r="D633" s="12"/>
      <c r="E633" s="12"/>
      <c r="I633" s="13"/>
      <c r="L633" s="14"/>
      <c r="P633" s="13"/>
      <c r="S633" s="13"/>
      <c r="T633" s="16"/>
    </row>
    <row r="634">
      <c r="D634" s="12"/>
      <c r="E634" s="12"/>
      <c r="I634" s="13"/>
      <c r="L634" s="14"/>
      <c r="P634" s="13"/>
      <c r="S634" s="13"/>
      <c r="T634" s="16"/>
    </row>
    <row r="635">
      <c r="D635" s="12"/>
      <c r="E635" s="12"/>
      <c r="I635" s="13"/>
      <c r="L635" s="14"/>
      <c r="P635" s="13"/>
      <c r="S635" s="13"/>
      <c r="T635" s="16"/>
    </row>
    <row r="636">
      <c r="D636" s="12"/>
      <c r="E636" s="12"/>
      <c r="I636" s="13"/>
      <c r="L636" s="14"/>
      <c r="P636" s="13"/>
      <c r="S636" s="13"/>
      <c r="T636" s="16"/>
    </row>
    <row r="637">
      <c r="D637" s="12"/>
      <c r="E637" s="12"/>
      <c r="I637" s="13"/>
      <c r="L637" s="14"/>
      <c r="P637" s="13"/>
      <c r="S637" s="13"/>
      <c r="T637" s="16"/>
    </row>
    <row r="638">
      <c r="D638" s="12"/>
      <c r="E638" s="12"/>
      <c r="I638" s="13"/>
      <c r="L638" s="14"/>
      <c r="P638" s="13"/>
      <c r="S638" s="13"/>
      <c r="T638" s="16"/>
    </row>
    <row r="639">
      <c r="D639" s="12"/>
      <c r="E639" s="12"/>
      <c r="I639" s="13"/>
      <c r="L639" s="14"/>
      <c r="P639" s="13"/>
      <c r="S639" s="13"/>
      <c r="T639" s="16"/>
    </row>
    <row r="640">
      <c r="D640" s="12"/>
      <c r="E640" s="12"/>
      <c r="I640" s="13"/>
      <c r="L640" s="14"/>
      <c r="P640" s="13"/>
      <c r="S640" s="13"/>
      <c r="T640" s="16"/>
    </row>
    <row r="641">
      <c r="D641" s="12"/>
      <c r="E641" s="12"/>
      <c r="I641" s="13"/>
      <c r="L641" s="14"/>
      <c r="P641" s="13"/>
      <c r="S641" s="13"/>
      <c r="T641" s="16"/>
    </row>
    <row r="642">
      <c r="D642" s="12"/>
      <c r="E642" s="12"/>
      <c r="I642" s="13"/>
      <c r="L642" s="14"/>
      <c r="P642" s="13"/>
      <c r="S642" s="13"/>
      <c r="T642" s="16"/>
    </row>
    <row r="643">
      <c r="D643" s="12"/>
      <c r="E643" s="12"/>
      <c r="I643" s="13"/>
      <c r="L643" s="14"/>
      <c r="P643" s="13"/>
      <c r="S643" s="13"/>
      <c r="T643" s="16"/>
    </row>
    <row r="644">
      <c r="D644" s="12"/>
      <c r="E644" s="12"/>
      <c r="I644" s="13"/>
      <c r="L644" s="14"/>
      <c r="P644" s="13"/>
      <c r="S644" s="13"/>
      <c r="T644" s="16"/>
    </row>
    <row r="645">
      <c r="D645" s="12"/>
      <c r="E645" s="12"/>
      <c r="I645" s="13"/>
      <c r="L645" s="14"/>
      <c r="P645" s="13"/>
      <c r="S645" s="13"/>
      <c r="T645" s="16"/>
    </row>
    <row r="646">
      <c r="D646" s="12"/>
      <c r="E646" s="12"/>
      <c r="I646" s="13"/>
      <c r="L646" s="14"/>
      <c r="P646" s="13"/>
      <c r="S646" s="13"/>
      <c r="T646" s="16"/>
    </row>
    <row r="647">
      <c r="D647" s="12"/>
      <c r="E647" s="12"/>
      <c r="I647" s="13"/>
      <c r="L647" s="14"/>
      <c r="P647" s="13"/>
      <c r="S647" s="13"/>
      <c r="T647" s="16"/>
    </row>
    <row r="648">
      <c r="D648" s="12"/>
      <c r="E648" s="12"/>
      <c r="I648" s="13"/>
      <c r="L648" s="14"/>
      <c r="P648" s="13"/>
      <c r="S648" s="13"/>
      <c r="T648" s="16"/>
    </row>
    <row r="649">
      <c r="D649" s="12"/>
      <c r="E649" s="12"/>
      <c r="I649" s="13"/>
      <c r="L649" s="14"/>
      <c r="P649" s="13"/>
      <c r="S649" s="13"/>
      <c r="T649" s="16"/>
    </row>
    <row r="650">
      <c r="D650" s="12"/>
      <c r="E650" s="12"/>
      <c r="I650" s="13"/>
      <c r="L650" s="14"/>
      <c r="P650" s="13"/>
      <c r="S650" s="13"/>
      <c r="T650" s="16"/>
    </row>
    <row r="651">
      <c r="D651" s="12"/>
      <c r="E651" s="12"/>
      <c r="I651" s="13"/>
      <c r="L651" s="14"/>
      <c r="P651" s="13"/>
      <c r="S651" s="13"/>
      <c r="T651" s="16"/>
    </row>
    <row r="652">
      <c r="D652" s="12"/>
      <c r="E652" s="12"/>
      <c r="I652" s="13"/>
      <c r="L652" s="14"/>
      <c r="P652" s="13"/>
      <c r="S652" s="13"/>
      <c r="T652" s="16"/>
    </row>
    <row r="653">
      <c r="D653" s="12"/>
      <c r="E653" s="12"/>
      <c r="I653" s="13"/>
      <c r="L653" s="14"/>
      <c r="P653" s="13"/>
      <c r="S653" s="13"/>
      <c r="T653" s="16"/>
    </row>
    <row r="654">
      <c r="D654" s="12"/>
      <c r="E654" s="12"/>
      <c r="I654" s="13"/>
      <c r="L654" s="14"/>
      <c r="P654" s="13"/>
      <c r="S654" s="13"/>
      <c r="T654" s="16"/>
    </row>
    <row r="655">
      <c r="D655" s="12"/>
      <c r="E655" s="12"/>
      <c r="I655" s="13"/>
      <c r="L655" s="14"/>
      <c r="P655" s="13"/>
      <c r="S655" s="13"/>
      <c r="T655" s="16"/>
    </row>
    <row r="656">
      <c r="D656" s="12"/>
      <c r="E656" s="12"/>
      <c r="I656" s="13"/>
      <c r="L656" s="14"/>
      <c r="P656" s="13"/>
      <c r="S656" s="13"/>
      <c r="T656" s="16"/>
    </row>
    <row r="657">
      <c r="D657" s="12"/>
      <c r="E657" s="12"/>
      <c r="I657" s="13"/>
      <c r="L657" s="14"/>
      <c r="P657" s="13"/>
      <c r="S657" s="13"/>
      <c r="T657" s="16"/>
    </row>
    <row r="658">
      <c r="D658" s="12"/>
      <c r="E658" s="12"/>
      <c r="I658" s="13"/>
      <c r="L658" s="14"/>
      <c r="P658" s="13"/>
      <c r="S658" s="13"/>
      <c r="T658" s="16"/>
    </row>
    <row r="659">
      <c r="D659" s="12"/>
      <c r="E659" s="12"/>
      <c r="I659" s="13"/>
      <c r="L659" s="14"/>
      <c r="P659" s="13"/>
      <c r="S659" s="13"/>
      <c r="T659" s="16"/>
    </row>
    <row r="660">
      <c r="D660" s="12"/>
      <c r="E660" s="12"/>
      <c r="I660" s="13"/>
      <c r="L660" s="14"/>
      <c r="P660" s="13"/>
      <c r="S660" s="13"/>
      <c r="T660" s="16"/>
    </row>
    <row r="661">
      <c r="D661" s="12"/>
      <c r="E661" s="12"/>
      <c r="I661" s="13"/>
      <c r="L661" s="14"/>
      <c r="P661" s="13"/>
      <c r="S661" s="13"/>
      <c r="T661" s="16"/>
    </row>
    <row r="662">
      <c r="D662" s="12"/>
      <c r="E662" s="12"/>
      <c r="I662" s="13"/>
      <c r="L662" s="14"/>
      <c r="P662" s="13"/>
      <c r="S662" s="13"/>
      <c r="T662" s="16"/>
    </row>
    <row r="663">
      <c r="D663" s="12"/>
      <c r="E663" s="12"/>
      <c r="I663" s="13"/>
      <c r="L663" s="14"/>
      <c r="P663" s="13"/>
      <c r="S663" s="13"/>
      <c r="T663" s="16"/>
    </row>
    <row r="664">
      <c r="D664" s="12"/>
      <c r="E664" s="12"/>
      <c r="I664" s="13"/>
      <c r="L664" s="14"/>
      <c r="P664" s="13"/>
      <c r="S664" s="13"/>
      <c r="T664" s="16"/>
    </row>
    <row r="665">
      <c r="D665" s="12"/>
      <c r="E665" s="12"/>
      <c r="I665" s="13"/>
      <c r="L665" s="14"/>
      <c r="P665" s="13"/>
      <c r="S665" s="13"/>
      <c r="T665" s="16"/>
    </row>
    <row r="666">
      <c r="D666" s="12"/>
      <c r="E666" s="12"/>
      <c r="I666" s="13"/>
      <c r="L666" s="14"/>
      <c r="P666" s="13"/>
      <c r="S666" s="13"/>
      <c r="T666" s="16"/>
    </row>
    <row r="667">
      <c r="D667" s="12"/>
      <c r="E667" s="12"/>
      <c r="I667" s="13"/>
      <c r="L667" s="14"/>
      <c r="P667" s="13"/>
      <c r="S667" s="13"/>
      <c r="T667" s="16"/>
    </row>
    <row r="668">
      <c r="D668" s="12"/>
      <c r="E668" s="12"/>
      <c r="I668" s="13"/>
      <c r="L668" s="14"/>
      <c r="P668" s="13"/>
      <c r="S668" s="13"/>
      <c r="T668" s="16"/>
    </row>
    <row r="669">
      <c r="D669" s="12"/>
      <c r="E669" s="12"/>
      <c r="I669" s="13"/>
      <c r="L669" s="14"/>
      <c r="P669" s="13"/>
      <c r="S669" s="13"/>
      <c r="T669" s="16"/>
    </row>
    <row r="670">
      <c r="D670" s="12"/>
      <c r="E670" s="12"/>
      <c r="I670" s="13"/>
      <c r="L670" s="14"/>
      <c r="P670" s="13"/>
      <c r="S670" s="13"/>
      <c r="T670" s="16"/>
    </row>
    <row r="671">
      <c r="D671" s="12"/>
      <c r="E671" s="12"/>
      <c r="I671" s="13"/>
      <c r="L671" s="14"/>
      <c r="P671" s="13"/>
      <c r="S671" s="13"/>
      <c r="T671" s="16"/>
    </row>
    <row r="672">
      <c r="D672" s="12"/>
      <c r="E672" s="12"/>
      <c r="I672" s="13"/>
      <c r="L672" s="14"/>
      <c r="P672" s="13"/>
      <c r="S672" s="13"/>
      <c r="T672" s="16"/>
    </row>
    <row r="673">
      <c r="D673" s="12"/>
      <c r="E673" s="12"/>
      <c r="I673" s="13"/>
      <c r="L673" s="14"/>
      <c r="P673" s="13"/>
      <c r="S673" s="13"/>
      <c r="T673" s="16"/>
    </row>
    <row r="674">
      <c r="D674" s="12"/>
      <c r="E674" s="12"/>
      <c r="I674" s="13"/>
      <c r="L674" s="14"/>
      <c r="P674" s="13"/>
      <c r="S674" s="13"/>
      <c r="T674" s="16"/>
    </row>
    <row r="675">
      <c r="D675" s="12"/>
      <c r="E675" s="12"/>
      <c r="I675" s="13"/>
      <c r="L675" s="14"/>
      <c r="P675" s="13"/>
      <c r="S675" s="13"/>
      <c r="T675" s="16"/>
    </row>
    <row r="676">
      <c r="D676" s="12"/>
      <c r="E676" s="12"/>
      <c r="I676" s="13"/>
      <c r="L676" s="14"/>
      <c r="P676" s="13"/>
      <c r="S676" s="13"/>
      <c r="T676" s="16"/>
    </row>
    <row r="677">
      <c r="D677" s="12"/>
      <c r="E677" s="12"/>
      <c r="I677" s="13"/>
      <c r="L677" s="14"/>
      <c r="P677" s="13"/>
      <c r="S677" s="13"/>
      <c r="T677" s="16"/>
    </row>
    <row r="678">
      <c r="D678" s="12"/>
      <c r="E678" s="12"/>
      <c r="I678" s="13"/>
      <c r="L678" s="14"/>
      <c r="P678" s="13"/>
      <c r="S678" s="13"/>
      <c r="T678" s="16"/>
    </row>
    <row r="679">
      <c r="D679" s="12"/>
      <c r="E679" s="12"/>
      <c r="I679" s="13"/>
      <c r="L679" s="14"/>
      <c r="P679" s="13"/>
      <c r="S679" s="13"/>
      <c r="T679" s="16"/>
    </row>
    <row r="680">
      <c r="D680" s="12"/>
      <c r="E680" s="12"/>
      <c r="I680" s="13"/>
      <c r="L680" s="14"/>
      <c r="P680" s="13"/>
      <c r="S680" s="13"/>
      <c r="T680" s="16"/>
    </row>
    <row r="681">
      <c r="D681" s="12"/>
      <c r="E681" s="12"/>
      <c r="I681" s="13"/>
      <c r="L681" s="14"/>
      <c r="P681" s="13"/>
      <c r="S681" s="13"/>
      <c r="T681" s="16"/>
    </row>
    <row r="682">
      <c r="D682" s="12"/>
      <c r="E682" s="12"/>
      <c r="I682" s="13"/>
      <c r="L682" s="14"/>
      <c r="P682" s="13"/>
      <c r="S682" s="13"/>
      <c r="T682" s="16"/>
    </row>
    <row r="683">
      <c r="D683" s="12"/>
      <c r="E683" s="12"/>
      <c r="I683" s="13"/>
      <c r="L683" s="14"/>
      <c r="P683" s="13"/>
      <c r="S683" s="13"/>
      <c r="T683" s="16"/>
    </row>
    <row r="684">
      <c r="D684" s="12"/>
      <c r="E684" s="12"/>
      <c r="I684" s="13"/>
      <c r="L684" s="14"/>
      <c r="P684" s="13"/>
      <c r="S684" s="13"/>
      <c r="T684" s="16"/>
    </row>
    <row r="685">
      <c r="D685" s="12"/>
      <c r="E685" s="12"/>
      <c r="I685" s="13"/>
      <c r="L685" s="14"/>
      <c r="P685" s="13"/>
      <c r="S685" s="13"/>
      <c r="T685" s="16"/>
    </row>
    <row r="686">
      <c r="D686" s="12"/>
      <c r="E686" s="12"/>
      <c r="I686" s="13"/>
      <c r="L686" s="14"/>
      <c r="P686" s="13"/>
      <c r="S686" s="13"/>
      <c r="T686" s="16"/>
    </row>
    <row r="687">
      <c r="D687" s="12"/>
      <c r="E687" s="12"/>
      <c r="I687" s="13"/>
      <c r="L687" s="14"/>
      <c r="P687" s="13"/>
      <c r="S687" s="13"/>
      <c r="T687" s="16"/>
    </row>
    <row r="688">
      <c r="D688" s="12"/>
      <c r="E688" s="12"/>
      <c r="I688" s="13"/>
      <c r="L688" s="14"/>
      <c r="P688" s="13"/>
      <c r="S688" s="13"/>
      <c r="T688" s="16"/>
    </row>
    <row r="689">
      <c r="D689" s="12"/>
      <c r="E689" s="12"/>
      <c r="I689" s="13"/>
      <c r="L689" s="14"/>
      <c r="P689" s="13"/>
      <c r="S689" s="13"/>
      <c r="T689" s="16"/>
    </row>
    <row r="690">
      <c r="D690" s="12"/>
      <c r="E690" s="12"/>
      <c r="I690" s="13"/>
      <c r="L690" s="14"/>
      <c r="P690" s="13"/>
      <c r="S690" s="13"/>
      <c r="T690" s="16"/>
    </row>
    <row r="691">
      <c r="D691" s="12"/>
      <c r="E691" s="12"/>
      <c r="I691" s="13"/>
      <c r="L691" s="14"/>
      <c r="P691" s="13"/>
      <c r="S691" s="13"/>
      <c r="T691" s="16"/>
    </row>
    <row r="692">
      <c r="D692" s="12"/>
      <c r="E692" s="12"/>
      <c r="I692" s="13"/>
      <c r="L692" s="14"/>
      <c r="P692" s="13"/>
      <c r="S692" s="13"/>
      <c r="T692" s="16"/>
    </row>
    <row r="693">
      <c r="D693" s="12"/>
      <c r="E693" s="12"/>
      <c r="I693" s="13"/>
      <c r="L693" s="14"/>
      <c r="P693" s="13"/>
      <c r="S693" s="13"/>
      <c r="T693" s="16"/>
    </row>
    <row r="694">
      <c r="D694" s="12"/>
      <c r="E694" s="12"/>
      <c r="I694" s="13"/>
      <c r="L694" s="14"/>
      <c r="P694" s="13"/>
      <c r="S694" s="13"/>
      <c r="T694" s="16"/>
    </row>
    <row r="695">
      <c r="D695" s="12"/>
      <c r="E695" s="12"/>
      <c r="I695" s="13"/>
      <c r="L695" s="14"/>
      <c r="P695" s="13"/>
      <c r="S695" s="13"/>
      <c r="T695" s="16"/>
    </row>
    <row r="696">
      <c r="D696" s="12"/>
      <c r="E696" s="12"/>
      <c r="I696" s="13"/>
      <c r="L696" s="14"/>
      <c r="P696" s="13"/>
      <c r="S696" s="13"/>
      <c r="T696" s="16"/>
    </row>
    <row r="697">
      <c r="D697" s="12"/>
      <c r="E697" s="12"/>
      <c r="I697" s="13"/>
      <c r="L697" s="14"/>
      <c r="P697" s="13"/>
      <c r="S697" s="13"/>
      <c r="T697" s="16"/>
    </row>
    <row r="698">
      <c r="D698" s="12"/>
      <c r="E698" s="12"/>
      <c r="I698" s="13"/>
      <c r="L698" s="14"/>
      <c r="P698" s="13"/>
      <c r="S698" s="13"/>
      <c r="T698" s="16"/>
    </row>
    <row r="699">
      <c r="D699" s="12"/>
      <c r="E699" s="12"/>
      <c r="I699" s="13"/>
      <c r="L699" s="14"/>
      <c r="P699" s="13"/>
      <c r="S699" s="13"/>
      <c r="T699" s="16"/>
    </row>
    <row r="700">
      <c r="D700" s="12"/>
      <c r="E700" s="12"/>
      <c r="I700" s="13"/>
      <c r="L700" s="14"/>
      <c r="P700" s="13"/>
      <c r="S700" s="13"/>
      <c r="T700" s="16"/>
    </row>
    <row r="701">
      <c r="D701" s="12"/>
      <c r="E701" s="12"/>
      <c r="I701" s="13"/>
      <c r="L701" s="14"/>
      <c r="P701" s="13"/>
      <c r="S701" s="13"/>
      <c r="T701" s="16"/>
    </row>
    <row r="702">
      <c r="D702" s="12"/>
      <c r="E702" s="12"/>
      <c r="I702" s="13"/>
      <c r="L702" s="14"/>
      <c r="P702" s="13"/>
      <c r="S702" s="13"/>
      <c r="T702" s="16"/>
    </row>
    <row r="703">
      <c r="D703" s="12"/>
      <c r="E703" s="12"/>
      <c r="I703" s="13"/>
      <c r="L703" s="14"/>
      <c r="P703" s="13"/>
      <c r="S703" s="13"/>
      <c r="T703" s="16"/>
    </row>
    <row r="704">
      <c r="D704" s="12"/>
      <c r="E704" s="12"/>
      <c r="I704" s="13"/>
      <c r="L704" s="14"/>
      <c r="P704" s="13"/>
      <c r="S704" s="13"/>
      <c r="T704" s="16"/>
    </row>
    <row r="705">
      <c r="D705" s="12"/>
      <c r="E705" s="12"/>
      <c r="I705" s="13"/>
      <c r="L705" s="14"/>
      <c r="P705" s="13"/>
      <c r="S705" s="13"/>
      <c r="T705" s="16"/>
    </row>
    <row r="706">
      <c r="D706" s="12"/>
      <c r="E706" s="12"/>
      <c r="I706" s="13"/>
      <c r="L706" s="14"/>
      <c r="P706" s="13"/>
      <c r="S706" s="13"/>
      <c r="T706" s="16"/>
    </row>
    <row r="707">
      <c r="D707" s="12"/>
      <c r="E707" s="12"/>
      <c r="I707" s="13"/>
      <c r="L707" s="14"/>
      <c r="P707" s="13"/>
      <c r="S707" s="13"/>
      <c r="T707" s="16"/>
    </row>
    <row r="708">
      <c r="D708" s="12"/>
      <c r="E708" s="12"/>
      <c r="I708" s="13"/>
      <c r="L708" s="14"/>
      <c r="P708" s="13"/>
      <c r="S708" s="13"/>
      <c r="T708" s="16"/>
    </row>
    <row r="709">
      <c r="D709" s="12"/>
      <c r="E709" s="12"/>
      <c r="I709" s="13"/>
      <c r="L709" s="14"/>
      <c r="P709" s="13"/>
      <c r="S709" s="13"/>
      <c r="T709" s="16"/>
    </row>
    <row r="710">
      <c r="D710" s="12"/>
      <c r="E710" s="12"/>
      <c r="I710" s="13"/>
      <c r="L710" s="14"/>
      <c r="P710" s="13"/>
      <c r="S710" s="13"/>
      <c r="T710" s="16"/>
    </row>
    <row r="711">
      <c r="D711" s="12"/>
      <c r="E711" s="12"/>
      <c r="I711" s="13"/>
      <c r="L711" s="14"/>
      <c r="P711" s="13"/>
      <c r="S711" s="13"/>
      <c r="T711" s="16"/>
    </row>
    <row r="712">
      <c r="D712" s="12"/>
      <c r="E712" s="12"/>
      <c r="I712" s="13"/>
      <c r="L712" s="14"/>
      <c r="P712" s="13"/>
      <c r="S712" s="13"/>
      <c r="T712" s="16"/>
    </row>
    <row r="713">
      <c r="D713" s="12"/>
      <c r="E713" s="12"/>
      <c r="I713" s="13"/>
      <c r="L713" s="14"/>
      <c r="P713" s="13"/>
      <c r="S713" s="13"/>
      <c r="T713" s="16"/>
    </row>
    <row r="714">
      <c r="D714" s="12"/>
      <c r="E714" s="12"/>
      <c r="I714" s="13"/>
      <c r="L714" s="14"/>
      <c r="P714" s="13"/>
      <c r="S714" s="13"/>
      <c r="T714" s="16"/>
    </row>
    <row r="715">
      <c r="D715" s="12"/>
      <c r="E715" s="12"/>
      <c r="I715" s="13"/>
      <c r="L715" s="14"/>
      <c r="P715" s="13"/>
      <c r="S715" s="13"/>
      <c r="T715" s="16"/>
    </row>
    <row r="716">
      <c r="D716" s="12"/>
      <c r="E716" s="12"/>
      <c r="I716" s="13"/>
      <c r="L716" s="14"/>
      <c r="P716" s="13"/>
      <c r="S716" s="13"/>
      <c r="T716" s="16"/>
    </row>
    <row r="717">
      <c r="D717" s="12"/>
      <c r="E717" s="12"/>
      <c r="I717" s="13"/>
      <c r="L717" s="14"/>
      <c r="P717" s="13"/>
      <c r="S717" s="13"/>
      <c r="T717" s="16"/>
    </row>
    <row r="718">
      <c r="D718" s="12"/>
      <c r="E718" s="12"/>
      <c r="I718" s="13"/>
      <c r="L718" s="14"/>
      <c r="P718" s="13"/>
      <c r="S718" s="13"/>
      <c r="T718" s="16"/>
    </row>
    <row r="719">
      <c r="D719" s="12"/>
      <c r="E719" s="12"/>
      <c r="I719" s="13"/>
      <c r="L719" s="14"/>
      <c r="P719" s="13"/>
      <c r="S719" s="13"/>
      <c r="T719" s="16"/>
    </row>
    <row r="720">
      <c r="D720" s="12"/>
      <c r="E720" s="12"/>
      <c r="I720" s="13"/>
      <c r="L720" s="14"/>
      <c r="P720" s="13"/>
      <c r="S720" s="13"/>
      <c r="T720" s="16"/>
    </row>
    <row r="721">
      <c r="D721" s="12"/>
      <c r="E721" s="12"/>
      <c r="I721" s="13"/>
      <c r="L721" s="14"/>
      <c r="P721" s="13"/>
      <c r="S721" s="13"/>
      <c r="T721" s="16"/>
    </row>
    <row r="722">
      <c r="D722" s="12"/>
      <c r="E722" s="12"/>
      <c r="I722" s="13"/>
      <c r="L722" s="14"/>
      <c r="P722" s="13"/>
      <c r="S722" s="13"/>
      <c r="T722" s="16"/>
    </row>
    <row r="723">
      <c r="D723" s="12"/>
      <c r="E723" s="12"/>
      <c r="I723" s="13"/>
      <c r="L723" s="14"/>
      <c r="P723" s="13"/>
      <c r="S723" s="13"/>
      <c r="T723" s="16"/>
    </row>
    <row r="724">
      <c r="D724" s="12"/>
      <c r="E724" s="12"/>
      <c r="I724" s="13"/>
      <c r="L724" s="14"/>
      <c r="P724" s="13"/>
      <c r="S724" s="13"/>
      <c r="T724" s="16"/>
    </row>
    <row r="725">
      <c r="D725" s="12"/>
      <c r="E725" s="12"/>
      <c r="I725" s="13"/>
      <c r="L725" s="14"/>
      <c r="P725" s="13"/>
      <c r="S725" s="13"/>
      <c r="T725" s="16"/>
    </row>
    <row r="726">
      <c r="D726" s="12"/>
      <c r="E726" s="12"/>
      <c r="I726" s="13"/>
      <c r="L726" s="14"/>
      <c r="P726" s="13"/>
      <c r="S726" s="13"/>
      <c r="T726" s="16"/>
    </row>
    <row r="727">
      <c r="D727" s="12"/>
      <c r="E727" s="12"/>
      <c r="I727" s="13"/>
      <c r="L727" s="14"/>
      <c r="P727" s="13"/>
      <c r="S727" s="13"/>
      <c r="T727" s="16"/>
    </row>
    <row r="728">
      <c r="D728" s="12"/>
      <c r="E728" s="12"/>
      <c r="I728" s="13"/>
      <c r="L728" s="14"/>
      <c r="P728" s="13"/>
      <c r="S728" s="13"/>
      <c r="T728" s="16"/>
    </row>
    <row r="729">
      <c r="D729" s="12"/>
      <c r="E729" s="12"/>
      <c r="I729" s="13"/>
      <c r="L729" s="14"/>
      <c r="P729" s="13"/>
      <c r="S729" s="13"/>
      <c r="T729" s="16"/>
    </row>
    <row r="730">
      <c r="D730" s="12"/>
      <c r="E730" s="12"/>
      <c r="I730" s="13"/>
      <c r="L730" s="14"/>
      <c r="P730" s="13"/>
      <c r="S730" s="13"/>
      <c r="T730" s="16"/>
    </row>
    <row r="731">
      <c r="D731" s="12"/>
      <c r="E731" s="12"/>
      <c r="I731" s="13"/>
      <c r="L731" s="14"/>
      <c r="P731" s="13"/>
      <c r="S731" s="13"/>
      <c r="T731" s="16"/>
    </row>
    <row r="732">
      <c r="D732" s="12"/>
      <c r="E732" s="12"/>
      <c r="I732" s="13"/>
      <c r="L732" s="14"/>
      <c r="P732" s="13"/>
      <c r="S732" s="13"/>
      <c r="T732" s="16"/>
    </row>
    <row r="733">
      <c r="D733" s="12"/>
      <c r="E733" s="12"/>
      <c r="I733" s="13"/>
      <c r="L733" s="14"/>
      <c r="P733" s="13"/>
      <c r="S733" s="13"/>
      <c r="T733" s="16"/>
    </row>
    <row r="734">
      <c r="D734" s="12"/>
      <c r="E734" s="12"/>
      <c r="I734" s="13"/>
      <c r="L734" s="14"/>
      <c r="P734" s="13"/>
      <c r="S734" s="13"/>
      <c r="T734" s="16"/>
    </row>
    <row r="735">
      <c r="D735" s="12"/>
      <c r="E735" s="12"/>
      <c r="I735" s="13"/>
      <c r="L735" s="14"/>
      <c r="P735" s="13"/>
      <c r="S735" s="13"/>
      <c r="T735" s="16"/>
    </row>
    <row r="736">
      <c r="D736" s="12"/>
      <c r="E736" s="12"/>
      <c r="I736" s="13"/>
      <c r="L736" s="14"/>
      <c r="P736" s="13"/>
      <c r="S736" s="13"/>
      <c r="T736" s="16"/>
    </row>
    <row r="737">
      <c r="D737" s="12"/>
      <c r="E737" s="12"/>
      <c r="I737" s="13"/>
      <c r="L737" s="14"/>
      <c r="P737" s="13"/>
      <c r="S737" s="13"/>
      <c r="T737" s="16"/>
    </row>
    <row r="738">
      <c r="D738" s="12"/>
      <c r="E738" s="12"/>
      <c r="I738" s="13"/>
      <c r="L738" s="14"/>
      <c r="P738" s="13"/>
      <c r="S738" s="13"/>
      <c r="T738" s="16"/>
    </row>
    <row r="739">
      <c r="D739" s="12"/>
      <c r="E739" s="12"/>
      <c r="I739" s="13"/>
      <c r="L739" s="14"/>
      <c r="P739" s="13"/>
      <c r="S739" s="13"/>
      <c r="T739" s="16"/>
    </row>
    <row r="740">
      <c r="D740" s="12"/>
      <c r="E740" s="12"/>
      <c r="I740" s="13"/>
      <c r="L740" s="14"/>
      <c r="P740" s="13"/>
      <c r="S740" s="13"/>
      <c r="T740" s="16"/>
    </row>
    <row r="741">
      <c r="D741" s="12"/>
      <c r="E741" s="12"/>
      <c r="I741" s="13"/>
      <c r="L741" s="14"/>
      <c r="P741" s="13"/>
      <c r="S741" s="13"/>
      <c r="T741" s="16"/>
    </row>
    <row r="742">
      <c r="D742" s="12"/>
      <c r="E742" s="12"/>
      <c r="I742" s="13"/>
      <c r="L742" s="14"/>
      <c r="P742" s="13"/>
      <c r="S742" s="13"/>
      <c r="T742" s="16"/>
    </row>
    <row r="743">
      <c r="D743" s="12"/>
      <c r="E743" s="12"/>
      <c r="I743" s="13"/>
      <c r="L743" s="14"/>
      <c r="P743" s="13"/>
      <c r="S743" s="13"/>
      <c r="T743" s="16"/>
    </row>
    <row r="744">
      <c r="D744" s="12"/>
      <c r="E744" s="12"/>
      <c r="I744" s="13"/>
      <c r="L744" s="14"/>
      <c r="P744" s="13"/>
      <c r="S744" s="13"/>
      <c r="T744" s="16"/>
    </row>
    <row r="745">
      <c r="D745" s="12"/>
      <c r="E745" s="12"/>
      <c r="I745" s="13"/>
      <c r="L745" s="14"/>
      <c r="P745" s="13"/>
      <c r="S745" s="13"/>
      <c r="T745" s="16"/>
    </row>
    <row r="746">
      <c r="D746" s="12"/>
      <c r="E746" s="12"/>
      <c r="I746" s="13"/>
      <c r="L746" s="14"/>
      <c r="P746" s="13"/>
      <c r="S746" s="13"/>
      <c r="T746" s="16"/>
    </row>
    <row r="747">
      <c r="D747" s="12"/>
      <c r="E747" s="12"/>
      <c r="I747" s="13"/>
      <c r="L747" s="14"/>
      <c r="P747" s="13"/>
      <c r="S747" s="13"/>
      <c r="T747" s="16"/>
    </row>
    <row r="748">
      <c r="D748" s="12"/>
      <c r="E748" s="12"/>
      <c r="I748" s="13"/>
      <c r="L748" s="14"/>
      <c r="P748" s="13"/>
      <c r="S748" s="13"/>
      <c r="T748" s="16"/>
    </row>
    <row r="749">
      <c r="D749" s="12"/>
      <c r="E749" s="12"/>
      <c r="I749" s="13"/>
      <c r="L749" s="14"/>
      <c r="P749" s="13"/>
      <c r="S749" s="13"/>
      <c r="T749" s="16"/>
    </row>
    <row r="750">
      <c r="D750" s="12"/>
      <c r="E750" s="12"/>
      <c r="I750" s="13"/>
      <c r="L750" s="14"/>
      <c r="P750" s="13"/>
      <c r="S750" s="13"/>
      <c r="T750" s="16"/>
    </row>
    <row r="751">
      <c r="D751" s="12"/>
      <c r="E751" s="12"/>
      <c r="I751" s="13"/>
      <c r="L751" s="14"/>
      <c r="P751" s="13"/>
      <c r="S751" s="13"/>
      <c r="T751" s="16"/>
    </row>
    <row r="752">
      <c r="D752" s="12"/>
      <c r="E752" s="12"/>
      <c r="I752" s="13"/>
      <c r="L752" s="14"/>
      <c r="P752" s="13"/>
      <c r="S752" s="13"/>
      <c r="T752" s="16"/>
    </row>
    <row r="753">
      <c r="D753" s="12"/>
      <c r="E753" s="12"/>
      <c r="I753" s="13"/>
      <c r="L753" s="14"/>
      <c r="P753" s="13"/>
      <c r="S753" s="13"/>
      <c r="T753" s="16"/>
    </row>
    <row r="754">
      <c r="D754" s="12"/>
      <c r="E754" s="12"/>
      <c r="I754" s="13"/>
      <c r="L754" s="14"/>
      <c r="P754" s="13"/>
      <c r="S754" s="13"/>
      <c r="T754" s="16"/>
    </row>
    <row r="755">
      <c r="D755" s="12"/>
      <c r="E755" s="12"/>
      <c r="I755" s="13"/>
      <c r="L755" s="14"/>
      <c r="P755" s="13"/>
      <c r="S755" s="13"/>
      <c r="T755" s="16"/>
    </row>
    <row r="756">
      <c r="D756" s="12"/>
      <c r="E756" s="12"/>
      <c r="I756" s="13"/>
      <c r="L756" s="14"/>
      <c r="P756" s="13"/>
      <c r="S756" s="13"/>
      <c r="T756" s="16"/>
    </row>
    <row r="757">
      <c r="D757" s="12"/>
      <c r="E757" s="12"/>
      <c r="I757" s="13"/>
      <c r="L757" s="14"/>
      <c r="P757" s="13"/>
      <c r="S757" s="13"/>
      <c r="T757" s="16"/>
    </row>
    <row r="758">
      <c r="D758" s="12"/>
      <c r="E758" s="12"/>
      <c r="I758" s="13"/>
      <c r="L758" s="14"/>
      <c r="P758" s="13"/>
      <c r="S758" s="13"/>
      <c r="T758" s="16"/>
    </row>
    <row r="759">
      <c r="D759" s="12"/>
      <c r="E759" s="12"/>
      <c r="I759" s="13"/>
      <c r="L759" s="14"/>
      <c r="P759" s="13"/>
      <c r="S759" s="13"/>
      <c r="T759" s="16"/>
    </row>
    <row r="760">
      <c r="D760" s="12"/>
      <c r="E760" s="12"/>
      <c r="I760" s="13"/>
      <c r="L760" s="14"/>
      <c r="P760" s="13"/>
      <c r="S760" s="13"/>
      <c r="T760" s="16"/>
    </row>
    <row r="761">
      <c r="D761" s="12"/>
      <c r="E761" s="12"/>
      <c r="I761" s="13"/>
      <c r="L761" s="14"/>
      <c r="P761" s="13"/>
      <c r="S761" s="13"/>
      <c r="T761" s="16"/>
    </row>
    <row r="762">
      <c r="D762" s="12"/>
      <c r="E762" s="12"/>
      <c r="I762" s="13"/>
      <c r="L762" s="14"/>
      <c r="P762" s="13"/>
      <c r="S762" s="13"/>
      <c r="T762" s="16"/>
    </row>
    <row r="763">
      <c r="D763" s="12"/>
      <c r="E763" s="12"/>
      <c r="I763" s="13"/>
      <c r="L763" s="14"/>
      <c r="P763" s="13"/>
      <c r="S763" s="13"/>
      <c r="T763" s="16"/>
    </row>
    <row r="764">
      <c r="D764" s="12"/>
      <c r="E764" s="12"/>
      <c r="I764" s="13"/>
      <c r="L764" s="14"/>
      <c r="P764" s="13"/>
      <c r="S764" s="13"/>
      <c r="T764" s="16"/>
    </row>
    <row r="765">
      <c r="D765" s="12"/>
      <c r="E765" s="12"/>
      <c r="I765" s="13"/>
      <c r="L765" s="14"/>
      <c r="P765" s="13"/>
      <c r="S765" s="13"/>
      <c r="T765" s="16"/>
    </row>
    <row r="766">
      <c r="D766" s="12"/>
      <c r="E766" s="12"/>
      <c r="I766" s="13"/>
      <c r="L766" s="14"/>
      <c r="P766" s="13"/>
      <c r="S766" s="13"/>
      <c r="T766" s="16"/>
    </row>
    <row r="767">
      <c r="D767" s="12"/>
      <c r="E767" s="12"/>
      <c r="I767" s="13"/>
      <c r="L767" s="14"/>
      <c r="P767" s="13"/>
      <c r="S767" s="13"/>
      <c r="T767" s="16"/>
    </row>
    <row r="768">
      <c r="D768" s="12"/>
      <c r="E768" s="12"/>
      <c r="I768" s="13"/>
      <c r="L768" s="14"/>
      <c r="P768" s="13"/>
      <c r="S768" s="13"/>
      <c r="T768" s="16"/>
    </row>
    <row r="769">
      <c r="D769" s="12"/>
      <c r="E769" s="12"/>
      <c r="I769" s="13"/>
      <c r="L769" s="14"/>
      <c r="P769" s="13"/>
      <c r="S769" s="13"/>
      <c r="T769" s="16"/>
    </row>
    <row r="770">
      <c r="D770" s="12"/>
      <c r="E770" s="12"/>
      <c r="I770" s="13"/>
      <c r="L770" s="14"/>
      <c r="P770" s="13"/>
      <c r="S770" s="13"/>
      <c r="T770" s="16"/>
    </row>
    <row r="771">
      <c r="D771" s="12"/>
      <c r="E771" s="12"/>
      <c r="I771" s="13"/>
      <c r="L771" s="14"/>
      <c r="P771" s="13"/>
      <c r="S771" s="13"/>
      <c r="T771" s="16"/>
    </row>
    <row r="772">
      <c r="D772" s="12"/>
      <c r="E772" s="12"/>
      <c r="I772" s="13"/>
      <c r="L772" s="14"/>
      <c r="P772" s="13"/>
      <c r="S772" s="13"/>
      <c r="T772" s="16"/>
    </row>
    <row r="773">
      <c r="D773" s="12"/>
      <c r="E773" s="12"/>
      <c r="I773" s="13"/>
      <c r="L773" s="14"/>
      <c r="P773" s="13"/>
      <c r="S773" s="13"/>
      <c r="T773" s="16"/>
    </row>
    <row r="774">
      <c r="D774" s="12"/>
      <c r="E774" s="12"/>
      <c r="I774" s="13"/>
      <c r="L774" s="14"/>
      <c r="P774" s="13"/>
      <c r="S774" s="13"/>
      <c r="T774" s="16"/>
    </row>
    <row r="775">
      <c r="D775" s="12"/>
      <c r="E775" s="12"/>
      <c r="I775" s="13"/>
      <c r="L775" s="14"/>
      <c r="P775" s="13"/>
      <c r="S775" s="13"/>
      <c r="T775" s="16"/>
    </row>
    <row r="776">
      <c r="D776" s="12"/>
      <c r="E776" s="12"/>
      <c r="I776" s="13"/>
      <c r="L776" s="14"/>
      <c r="P776" s="13"/>
      <c r="S776" s="13"/>
      <c r="T776" s="16"/>
    </row>
    <row r="777">
      <c r="D777" s="12"/>
      <c r="E777" s="12"/>
      <c r="I777" s="13"/>
      <c r="L777" s="14"/>
      <c r="P777" s="13"/>
      <c r="S777" s="13"/>
      <c r="T777" s="16"/>
    </row>
    <row r="778">
      <c r="D778" s="12"/>
      <c r="E778" s="12"/>
      <c r="I778" s="13"/>
      <c r="L778" s="14"/>
      <c r="P778" s="13"/>
      <c r="S778" s="13"/>
      <c r="T778" s="16"/>
    </row>
    <row r="779">
      <c r="D779" s="12"/>
      <c r="E779" s="12"/>
      <c r="I779" s="13"/>
      <c r="L779" s="14"/>
      <c r="P779" s="13"/>
      <c r="S779" s="13"/>
      <c r="T779" s="16"/>
    </row>
    <row r="780">
      <c r="D780" s="12"/>
      <c r="E780" s="12"/>
      <c r="I780" s="13"/>
      <c r="L780" s="14"/>
      <c r="P780" s="13"/>
      <c r="S780" s="13"/>
      <c r="T780" s="16"/>
    </row>
    <row r="781">
      <c r="D781" s="12"/>
      <c r="E781" s="12"/>
      <c r="I781" s="13"/>
      <c r="L781" s="14"/>
      <c r="P781" s="13"/>
      <c r="S781" s="13"/>
      <c r="T781" s="16"/>
    </row>
    <row r="782">
      <c r="D782" s="12"/>
      <c r="E782" s="12"/>
      <c r="I782" s="13"/>
      <c r="L782" s="14"/>
      <c r="P782" s="13"/>
      <c r="S782" s="13"/>
      <c r="T782" s="16"/>
    </row>
    <row r="783">
      <c r="D783" s="12"/>
      <c r="E783" s="12"/>
      <c r="I783" s="13"/>
      <c r="L783" s="14"/>
      <c r="P783" s="13"/>
      <c r="S783" s="13"/>
      <c r="T783" s="16"/>
    </row>
    <row r="784">
      <c r="D784" s="12"/>
      <c r="E784" s="12"/>
      <c r="I784" s="13"/>
      <c r="L784" s="14"/>
      <c r="P784" s="13"/>
      <c r="S784" s="13"/>
      <c r="T784" s="16"/>
    </row>
    <row r="785">
      <c r="D785" s="12"/>
      <c r="E785" s="12"/>
      <c r="I785" s="13"/>
      <c r="L785" s="14"/>
      <c r="P785" s="13"/>
      <c r="S785" s="13"/>
      <c r="T785" s="16"/>
    </row>
    <row r="786">
      <c r="D786" s="12"/>
      <c r="E786" s="12"/>
      <c r="I786" s="13"/>
      <c r="L786" s="14"/>
      <c r="P786" s="13"/>
      <c r="S786" s="13"/>
      <c r="T786" s="16"/>
    </row>
    <row r="787">
      <c r="D787" s="12"/>
      <c r="E787" s="12"/>
      <c r="I787" s="13"/>
      <c r="L787" s="14"/>
      <c r="P787" s="13"/>
      <c r="S787" s="13"/>
      <c r="T787" s="16"/>
    </row>
    <row r="788">
      <c r="D788" s="12"/>
      <c r="E788" s="12"/>
      <c r="I788" s="13"/>
      <c r="L788" s="14"/>
      <c r="P788" s="13"/>
      <c r="S788" s="13"/>
      <c r="T788" s="16"/>
    </row>
    <row r="789">
      <c r="D789" s="12"/>
      <c r="E789" s="12"/>
      <c r="I789" s="13"/>
      <c r="L789" s="14"/>
      <c r="P789" s="13"/>
      <c r="S789" s="13"/>
      <c r="T789" s="16"/>
    </row>
    <row r="790">
      <c r="D790" s="12"/>
      <c r="E790" s="12"/>
      <c r="I790" s="13"/>
      <c r="L790" s="14"/>
      <c r="P790" s="13"/>
      <c r="S790" s="13"/>
      <c r="T790" s="16"/>
    </row>
    <row r="791">
      <c r="D791" s="12"/>
      <c r="E791" s="12"/>
      <c r="I791" s="13"/>
      <c r="L791" s="14"/>
      <c r="P791" s="13"/>
      <c r="S791" s="13"/>
      <c r="T791" s="16"/>
    </row>
    <row r="792">
      <c r="D792" s="12"/>
      <c r="E792" s="12"/>
      <c r="I792" s="13"/>
      <c r="L792" s="14"/>
      <c r="P792" s="13"/>
      <c r="S792" s="13"/>
      <c r="T792" s="16"/>
    </row>
    <row r="793">
      <c r="D793" s="12"/>
      <c r="E793" s="12"/>
      <c r="I793" s="13"/>
      <c r="L793" s="14"/>
      <c r="P793" s="13"/>
      <c r="S793" s="13"/>
      <c r="T793" s="16"/>
    </row>
    <row r="794">
      <c r="D794" s="12"/>
      <c r="E794" s="12"/>
      <c r="I794" s="13"/>
      <c r="L794" s="14"/>
      <c r="P794" s="13"/>
      <c r="S794" s="13"/>
      <c r="T794" s="16"/>
    </row>
    <row r="795">
      <c r="D795" s="12"/>
      <c r="E795" s="12"/>
      <c r="I795" s="13"/>
      <c r="L795" s="14"/>
      <c r="P795" s="13"/>
      <c r="S795" s="13"/>
      <c r="T795" s="16"/>
    </row>
    <row r="796">
      <c r="D796" s="12"/>
      <c r="E796" s="12"/>
      <c r="I796" s="13"/>
      <c r="L796" s="14"/>
      <c r="P796" s="13"/>
      <c r="S796" s="13"/>
      <c r="T796" s="16"/>
    </row>
    <row r="797">
      <c r="D797" s="12"/>
      <c r="E797" s="12"/>
      <c r="I797" s="13"/>
      <c r="L797" s="14"/>
      <c r="P797" s="13"/>
      <c r="S797" s="13"/>
      <c r="T797" s="16"/>
    </row>
    <row r="798">
      <c r="D798" s="12"/>
      <c r="E798" s="12"/>
      <c r="I798" s="13"/>
      <c r="L798" s="14"/>
      <c r="P798" s="13"/>
      <c r="S798" s="13"/>
      <c r="T798" s="16"/>
    </row>
    <row r="799">
      <c r="D799" s="12"/>
      <c r="E799" s="12"/>
      <c r="I799" s="13"/>
      <c r="L799" s="14"/>
      <c r="P799" s="13"/>
      <c r="S799" s="13"/>
      <c r="T799" s="16"/>
    </row>
    <row r="800">
      <c r="D800" s="12"/>
      <c r="E800" s="12"/>
      <c r="I800" s="13"/>
      <c r="L800" s="14"/>
      <c r="P800" s="13"/>
      <c r="S800" s="13"/>
      <c r="T800" s="16"/>
    </row>
    <row r="801">
      <c r="D801" s="12"/>
      <c r="E801" s="12"/>
      <c r="I801" s="13"/>
      <c r="L801" s="14"/>
      <c r="P801" s="13"/>
      <c r="S801" s="13"/>
      <c r="T801" s="16"/>
    </row>
    <row r="802">
      <c r="D802" s="12"/>
      <c r="E802" s="12"/>
      <c r="I802" s="13"/>
      <c r="L802" s="14"/>
      <c r="P802" s="13"/>
      <c r="S802" s="13"/>
      <c r="T802" s="16"/>
    </row>
    <row r="803">
      <c r="D803" s="12"/>
      <c r="E803" s="12"/>
      <c r="I803" s="13"/>
      <c r="L803" s="14"/>
      <c r="P803" s="13"/>
      <c r="S803" s="13"/>
      <c r="T803" s="16"/>
    </row>
    <row r="804">
      <c r="D804" s="12"/>
      <c r="E804" s="12"/>
      <c r="I804" s="13"/>
      <c r="L804" s="14"/>
      <c r="P804" s="13"/>
      <c r="S804" s="13"/>
      <c r="T804" s="16"/>
    </row>
    <row r="805">
      <c r="D805" s="12"/>
      <c r="E805" s="12"/>
      <c r="I805" s="13"/>
      <c r="L805" s="14"/>
      <c r="P805" s="13"/>
      <c r="S805" s="13"/>
      <c r="T805" s="16"/>
    </row>
    <row r="806">
      <c r="D806" s="12"/>
      <c r="E806" s="12"/>
      <c r="I806" s="13"/>
      <c r="L806" s="14"/>
      <c r="P806" s="13"/>
      <c r="S806" s="13"/>
      <c r="T806" s="16"/>
    </row>
    <row r="807">
      <c r="D807" s="12"/>
      <c r="E807" s="12"/>
      <c r="I807" s="13"/>
      <c r="L807" s="14"/>
      <c r="P807" s="13"/>
      <c r="S807" s="13"/>
      <c r="T807" s="16"/>
    </row>
    <row r="808">
      <c r="D808" s="12"/>
      <c r="E808" s="12"/>
      <c r="I808" s="13"/>
      <c r="L808" s="14"/>
      <c r="P808" s="13"/>
      <c r="S808" s="13"/>
      <c r="T808" s="16"/>
    </row>
    <row r="809">
      <c r="D809" s="12"/>
      <c r="E809" s="12"/>
      <c r="I809" s="13"/>
      <c r="L809" s="14"/>
      <c r="P809" s="13"/>
      <c r="S809" s="13"/>
      <c r="T809" s="16"/>
    </row>
    <row r="810">
      <c r="D810" s="12"/>
      <c r="E810" s="12"/>
      <c r="I810" s="13"/>
      <c r="L810" s="14"/>
      <c r="P810" s="13"/>
      <c r="S810" s="13"/>
      <c r="T810" s="16"/>
    </row>
    <row r="811">
      <c r="D811" s="12"/>
      <c r="E811" s="12"/>
      <c r="I811" s="13"/>
      <c r="L811" s="14"/>
      <c r="P811" s="13"/>
      <c r="S811" s="13"/>
      <c r="T811" s="16"/>
    </row>
    <row r="812">
      <c r="D812" s="12"/>
      <c r="E812" s="12"/>
      <c r="I812" s="13"/>
      <c r="L812" s="14"/>
      <c r="P812" s="13"/>
      <c r="S812" s="13"/>
      <c r="T812" s="16"/>
    </row>
    <row r="813">
      <c r="D813" s="12"/>
      <c r="E813" s="12"/>
      <c r="I813" s="13"/>
      <c r="L813" s="14"/>
      <c r="P813" s="13"/>
      <c r="S813" s="13"/>
      <c r="T813" s="16"/>
    </row>
    <row r="814">
      <c r="D814" s="12"/>
      <c r="E814" s="12"/>
      <c r="I814" s="13"/>
      <c r="L814" s="14"/>
      <c r="P814" s="13"/>
      <c r="S814" s="13"/>
      <c r="T814" s="16"/>
    </row>
    <row r="815">
      <c r="D815" s="12"/>
      <c r="E815" s="12"/>
      <c r="I815" s="13"/>
      <c r="L815" s="14"/>
      <c r="P815" s="13"/>
      <c r="S815" s="13"/>
      <c r="T815" s="16"/>
    </row>
    <row r="816">
      <c r="D816" s="12"/>
      <c r="E816" s="12"/>
      <c r="I816" s="13"/>
      <c r="L816" s="14"/>
      <c r="P816" s="13"/>
      <c r="S816" s="13"/>
      <c r="T816" s="16"/>
    </row>
    <row r="817">
      <c r="D817" s="12"/>
      <c r="E817" s="12"/>
      <c r="I817" s="13"/>
      <c r="L817" s="14"/>
      <c r="P817" s="13"/>
      <c r="S817" s="13"/>
      <c r="T817" s="16"/>
    </row>
    <row r="818">
      <c r="D818" s="12"/>
      <c r="E818" s="12"/>
      <c r="I818" s="13"/>
      <c r="L818" s="14"/>
      <c r="P818" s="13"/>
      <c r="S818" s="13"/>
      <c r="T818" s="16"/>
    </row>
    <row r="819">
      <c r="D819" s="12"/>
      <c r="E819" s="12"/>
      <c r="I819" s="13"/>
      <c r="L819" s="14"/>
      <c r="P819" s="13"/>
      <c r="S819" s="13"/>
      <c r="T819" s="16"/>
    </row>
    <row r="820">
      <c r="D820" s="12"/>
      <c r="E820" s="12"/>
      <c r="I820" s="13"/>
      <c r="L820" s="14"/>
      <c r="P820" s="13"/>
      <c r="S820" s="13"/>
      <c r="T820" s="16"/>
    </row>
    <row r="821">
      <c r="D821" s="12"/>
      <c r="E821" s="12"/>
      <c r="I821" s="13"/>
      <c r="L821" s="14"/>
      <c r="P821" s="13"/>
      <c r="S821" s="13"/>
      <c r="T821" s="16"/>
    </row>
    <row r="822">
      <c r="D822" s="12"/>
      <c r="E822" s="12"/>
      <c r="I822" s="13"/>
      <c r="L822" s="14"/>
      <c r="P822" s="13"/>
      <c r="S822" s="13"/>
      <c r="T822" s="16"/>
    </row>
    <row r="823">
      <c r="D823" s="12"/>
      <c r="E823" s="12"/>
      <c r="I823" s="13"/>
      <c r="L823" s="14"/>
      <c r="P823" s="13"/>
      <c r="S823" s="13"/>
      <c r="T823" s="16"/>
    </row>
    <row r="824">
      <c r="D824" s="12"/>
      <c r="E824" s="12"/>
      <c r="I824" s="13"/>
      <c r="L824" s="14"/>
      <c r="P824" s="13"/>
      <c r="S824" s="13"/>
      <c r="T824" s="16"/>
    </row>
    <row r="825">
      <c r="D825" s="12"/>
      <c r="E825" s="12"/>
      <c r="I825" s="13"/>
      <c r="L825" s="14"/>
      <c r="P825" s="13"/>
      <c r="S825" s="13"/>
      <c r="T825" s="16"/>
    </row>
    <row r="826">
      <c r="D826" s="12"/>
      <c r="E826" s="12"/>
      <c r="I826" s="13"/>
      <c r="L826" s="14"/>
      <c r="P826" s="13"/>
      <c r="S826" s="13"/>
      <c r="T826" s="16"/>
    </row>
    <row r="827">
      <c r="D827" s="12"/>
      <c r="E827" s="12"/>
      <c r="I827" s="13"/>
      <c r="L827" s="14"/>
      <c r="P827" s="13"/>
      <c r="S827" s="13"/>
      <c r="T827" s="16"/>
    </row>
    <row r="828">
      <c r="D828" s="12"/>
      <c r="E828" s="12"/>
      <c r="I828" s="13"/>
      <c r="L828" s="14"/>
      <c r="P828" s="13"/>
      <c r="S828" s="13"/>
      <c r="T828" s="16"/>
    </row>
    <row r="829">
      <c r="D829" s="12"/>
      <c r="E829" s="12"/>
      <c r="I829" s="13"/>
      <c r="L829" s="14"/>
      <c r="P829" s="13"/>
      <c r="S829" s="13"/>
      <c r="T829" s="16"/>
    </row>
    <row r="830">
      <c r="D830" s="12"/>
      <c r="E830" s="12"/>
      <c r="I830" s="13"/>
      <c r="L830" s="14"/>
      <c r="P830" s="13"/>
      <c r="S830" s="13"/>
      <c r="T830" s="16"/>
    </row>
    <row r="831">
      <c r="D831" s="12"/>
      <c r="E831" s="12"/>
      <c r="I831" s="13"/>
      <c r="L831" s="14"/>
      <c r="P831" s="13"/>
      <c r="S831" s="13"/>
      <c r="T831" s="16"/>
    </row>
    <row r="832">
      <c r="D832" s="12"/>
      <c r="E832" s="12"/>
      <c r="I832" s="13"/>
      <c r="L832" s="14"/>
      <c r="P832" s="13"/>
      <c r="S832" s="13"/>
      <c r="T832" s="16"/>
    </row>
    <row r="833">
      <c r="D833" s="12"/>
      <c r="E833" s="12"/>
      <c r="I833" s="13"/>
      <c r="L833" s="14"/>
      <c r="P833" s="13"/>
      <c r="S833" s="13"/>
      <c r="T833" s="16"/>
    </row>
    <row r="834">
      <c r="D834" s="12"/>
      <c r="E834" s="12"/>
      <c r="I834" s="13"/>
      <c r="L834" s="14"/>
      <c r="P834" s="13"/>
      <c r="S834" s="13"/>
      <c r="T834" s="16"/>
    </row>
    <row r="835">
      <c r="D835" s="12"/>
      <c r="E835" s="12"/>
      <c r="I835" s="13"/>
      <c r="L835" s="14"/>
      <c r="P835" s="13"/>
      <c r="S835" s="13"/>
      <c r="T835" s="16"/>
    </row>
    <row r="836">
      <c r="D836" s="12"/>
      <c r="E836" s="12"/>
      <c r="I836" s="13"/>
      <c r="L836" s="14"/>
      <c r="P836" s="13"/>
      <c r="S836" s="13"/>
      <c r="T836" s="16"/>
    </row>
    <row r="837">
      <c r="D837" s="12"/>
      <c r="E837" s="12"/>
      <c r="I837" s="13"/>
      <c r="L837" s="14"/>
      <c r="P837" s="13"/>
      <c r="S837" s="13"/>
      <c r="T837" s="16"/>
    </row>
    <row r="838">
      <c r="D838" s="12"/>
      <c r="E838" s="12"/>
      <c r="I838" s="13"/>
      <c r="L838" s="14"/>
      <c r="P838" s="13"/>
      <c r="S838" s="13"/>
      <c r="T838" s="16"/>
    </row>
    <row r="839">
      <c r="D839" s="12"/>
      <c r="E839" s="12"/>
      <c r="I839" s="13"/>
      <c r="L839" s="14"/>
      <c r="P839" s="13"/>
      <c r="S839" s="13"/>
      <c r="T839" s="16"/>
    </row>
    <row r="840">
      <c r="D840" s="12"/>
      <c r="E840" s="12"/>
      <c r="I840" s="13"/>
      <c r="L840" s="14"/>
      <c r="P840" s="13"/>
      <c r="S840" s="13"/>
      <c r="T840" s="16"/>
    </row>
    <row r="841">
      <c r="D841" s="12"/>
      <c r="E841" s="12"/>
      <c r="I841" s="13"/>
      <c r="L841" s="14"/>
      <c r="P841" s="13"/>
      <c r="S841" s="13"/>
      <c r="T841" s="16"/>
    </row>
    <row r="842">
      <c r="D842" s="12"/>
      <c r="E842" s="12"/>
      <c r="I842" s="13"/>
      <c r="L842" s="14"/>
      <c r="P842" s="13"/>
      <c r="S842" s="13"/>
      <c r="T842" s="16"/>
    </row>
    <row r="843">
      <c r="D843" s="12"/>
      <c r="E843" s="12"/>
      <c r="I843" s="13"/>
      <c r="L843" s="14"/>
      <c r="P843" s="13"/>
      <c r="S843" s="13"/>
      <c r="T843" s="16"/>
    </row>
    <row r="844">
      <c r="D844" s="12"/>
      <c r="E844" s="12"/>
      <c r="I844" s="13"/>
      <c r="L844" s="14"/>
      <c r="P844" s="13"/>
      <c r="S844" s="13"/>
      <c r="T844" s="16"/>
    </row>
    <row r="845">
      <c r="D845" s="12"/>
      <c r="E845" s="12"/>
      <c r="I845" s="13"/>
      <c r="L845" s="14"/>
      <c r="P845" s="13"/>
      <c r="S845" s="13"/>
      <c r="T845" s="16"/>
    </row>
    <row r="846">
      <c r="D846" s="12"/>
      <c r="E846" s="12"/>
      <c r="I846" s="13"/>
      <c r="L846" s="14"/>
      <c r="P846" s="13"/>
      <c r="S846" s="13"/>
      <c r="T846" s="16"/>
    </row>
    <row r="847">
      <c r="D847" s="12"/>
      <c r="E847" s="12"/>
      <c r="I847" s="13"/>
      <c r="L847" s="14"/>
      <c r="P847" s="13"/>
      <c r="S847" s="13"/>
      <c r="T847" s="16"/>
    </row>
    <row r="848">
      <c r="D848" s="12"/>
      <c r="E848" s="12"/>
      <c r="I848" s="13"/>
      <c r="L848" s="14"/>
      <c r="P848" s="13"/>
      <c r="S848" s="13"/>
      <c r="T848" s="16"/>
    </row>
    <row r="849">
      <c r="D849" s="12"/>
      <c r="E849" s="12"/>
      <c r="I849" s="13"/>
      <c r="L849" s="14"/>
      <c r="P849" s="13"/>
      <c r="S849" s="13"/>
      <c r="T849" s="16"/>
    </row>
    <row r="850">
      <c r="D850" s="12"/>
      <c r="E850" s="12"/>
      <c r="I850" s="13"/>
      <c r="L850" s="14"/>
      <c r="P850" s="13"/>
      <c r="S850" s="13"/>
      <c r="T850" s="16"/>
    </row>
    <row r="851">
      <c r="D851" s="12"/>
      <c r="E851" s="12"/>
      <c r="I851" s="13"/>
      <c r="L851" s="14"/>
      <c r="P851" s="13"/>
      <c r="S851" s="13"/>
      <c r="T851" s="16"/>
    </row>
    <row r="852">
      <c r="D852" s="12"/>
      <c r="E852" s="12"/>
      <c r="I852" s="13"/>
      <c r="L852" s="14"/>
      <c r="P852" s="13"/>
      <c r="S852" s="13"/>
      <c r="T852" s="16"/>
    </row>
    <row r="853">
      <c r="D853" s="12"/>
      <c r="E853" s="12"/>
      <c r="I853" s="13"/>
      <c r="L853" s="14"/>
      <c r="P853" s="13"/>
      <c r="S853" s="13"/>
      <c r="T853" s="16"/>
    </row>
    <row r="854">
      <c r="D854" s="12"/>
      <c r="E854" s="12"/>
      <c r="I854" s="13"/>
      <c r="L854" s="14"/>
      <c r="P854" s="13"/>
      <c r="S854" s="13"/>
      <c r="T854" s="16"/>
    </row>
    <row r="855">
      <c r="D855" s="12"/>
      <c r="E855" s="12"/>
      <c r="I855" s="13"/>
      <c r="L855" s="14"/>
      <c r="P855" s="13"/>
      <c r="S855" s="13"/>
      <c r="T855" s="16"/>
    </row>
    <row r="856">
      <c r="D856" s="12"/>
      <c r="E856" s="12"/>
      <c r="I856" s="13"/>
      <c r="L856" s="14"/>
      <c r="P856" s="13"/>
      <c r="S856" s="13"/>
      <c r="T856" s="16"/>
    </row>
    <row r="857">
      <c r="D857" s="12"/>
      <c r="E857" s="12"/>
      <c r="I857" s="13"/>
      <c r="L857" s="14"/>
      <c r="P857" s="13"/>
      <c r="S857" s="13"/>
      <c r="T857" s="16"/>
    </row>
    <row r="858">
      <c r="D858" s="12"/>
      <c r="E858" s="12"/>
      <c r="I858" s="13"/>
      <c r="L858" s="14"/>
      <c r="P858" s="13"/>
      <c r="S858" s="13"/>
      <c r="T858" s="16"/>
    </row>
    <row r="859">
      <c r="D859" s="12"/>
      <c r="E859" s="12"/>
      <c r="I859" s="13"/>
      <c r="L859" s="14"/>
      <c r="P859" s="13"/>
      <c r="S859" s="13"/>
      <c r="T859" s="16"/>
    </row>
    <row r="860">
      <c r="D860" s="12"/>
      <c r="E860" s="12"/>
      <c r="I860" s="13"/>
      <c r="L860" s="14"/>
      <c r="P860" s="13"/>
      <c r="S860" s="13"/>
      <c r="T860" s="16"/>
    </row>
    <row r="861">
      <c r="D861" s="12"/>
      <c r="E861" s="12"/>
      <c r="I861" s="13"/>
      <c r="L861" s="14"/>
      <c r="P861" s="13"/>
      <c r="S861" s="13"/>
      <c r="T861" s="16"/>
    </row>
    <row r="862">
      <c r="D862" s="12"/>
      <c r="E862" s="12"/>
      <c r="I862" s="13"/>
      <c r="L862" s="14"/>
      <c r="P862" s="13"/>
      <c r="S862" s="13"/>
      <c r="T862" s="16"/>
    </row>
    <row r="863">
      <c r="D863" s="12"/>
      <c r="E863" s="12"/>
      <c r="I863" s="13"/>
      <c r="L863" s="14"/>
      <c r="P863" s="13"/>
      <c r="S863" s="13"/>
      <c r="T863" s="16"/>
    </row>
    <row r="864">
      <c r="D864" s="12"/>
      <c r="E864" s="12"/>
      <c r="I864" s="13"/>
      <c r="L864" s="14"/>
      <c r="P864" s="13"/>
      <c r="S864" s="13"/>
      <c r="T864" s="16"/>
    </row>
    <row r="865">
      <c r="D865" s="12"/>
      <c r="E865" s="12"/>
      <c r="I865" s="13"/>
      <c r="L865" s="14"/>
      <c r="P865" s="13"/>
      <c r="S865" s="13"/>
      <c r="T865" s="16"/>
    </row>
    <row r="866">
      <c r="D866" s="12"/>
      <c r="E866" s="12"/>
      <c r="I866" s="13"/>
      <c r="L866" s="14"/>
      <c r="P866" s="13"/>
      <c r="S866" s="13"/>
      <c r="T866" s="16"/>
    </row>
    <row r="867">
      <c r="D867" s="12"/>
      <c r="E867" s="12"/>
      <c r="I867" s="13"/>
      <c r="L867" s="14"/>
      <c r="P867" s="13"/>
      <c r="S867" s="13"/>
      <c r="T867" s="16"/>
    </row>
    <row r="868">
      <c r="D868" s="12"/>
      <c r="E868" s="12"/>
      <c r="I868" s="13"/>
      <c r="L868" s="14"/>
      <c r="P868" s="13"/>
      <c r="S868" s="13"/>
      <c r="T868" s="16"/>
    </row>
    <row r="869">
      <c r="D869" s="12"/>
      <c r="E869" s="12"/>
      <c r="I869" s="13"/>
      <c r="L869" s="14"/>
      <c r="P869" s="13"/>
      <c r="S869" s="13"/>
      <c r="T869" s="16"/>
    </row>
    <row r="870">
      <c r="D870" s="12"/>
      <c r="E870" s="12"/>
      <c r="I870" s="13"/>
      <c r="L870" s="14"/>
      <c r="P870" s="13"/>
      <c r="S870" s="13"/>
      <c r="T870" s="16"/>
    </row>
    <row r="871">
      <c r="D871" s="12"/>
      <c r="E871" s="12"/>
      <c r="I871" s="13"/>
      <c r="L871" s="14"/>
      <c r="P871" s="13"/>
      <c r="S871" s="13"/>
      <c r="T871" s="16"/>
    </row>
    <row r="872">
      <c r="D872" s="12"/>
      <c r="E872" s="12"/>
      <c r="I872" s="13"/>
      <c r="L872" s="14"/>
      <c r="P872" s="13"/>
      <c r="S872" s="13"/>
      <c r="T872" s="16"/>
    </row>
    <row r="873">
      <c r="D873" s="12"/>
      <c r="E873" s="12"/>
      <c r="I873" s="13"/>
      <c r="L873" s="14"/>
      <c r="P873" s="13"/>
      <c r="S873" s="13"/>
      <c r="T873" s="16"/>
    </row>
    <row r="874">
      <c r="D874" s="12"/>
      <c r="E874" s="12"/>
      <c r="I874" s="13"/>
      <c r="L874" s="14"/>
      <c r="P874" s="13"/>
      <c r="S874" s="13"/>
      <c r="T874" s="16"/>
    </row>
    <row r="875">
      <c r="D875" s="12"/>
      <c r="E875" s="12"/>
      <c r="I875" s="13"/>
      <c r="L875" s="14"/>
      <c r="P875" s="13"/>
      <c r="S875" s="13"/>
      <c r="T875" s="16"/>
    </row>
    <row r="876">
      <c r="D876" s="12"/>
      <c r="E876" s="12"/>
      <c r="I876" s="13"/>
      <c r="L876" s="14"/>
      <c r="P876" s="13"/>
      <c r="S876" s="13"/>
      <c r="T876" s="16"/>
    </row>
    <row r="877">
      <c r="D877" s="12"/>
      <c r="E877" s="12"/>
      <c r="I877" s="13"/>
      <c r="L877" s="14"/>
      <c r="P877" s="13"/>
      <c r="S877" s="13"/>
      <c r="T877" s="16"/>
    </row>
    <row r="878">
      <c r="D878" s="12"/>
      <c r="E878" s="12"/>
      <c r="I878" s="13"/>
      <c r="L878" s="14"/>
      <c r="P878" s="13"/>
      <c r="S878" s="13"/>
      <c r="T878" s="16"/>
    </row>
    <row r="879">
      <c r="D879" s="12"/>
      <c r="E879" s="12"/>
      <c r="I879" s="13"/>
      <c r="L879" s="14"/>
      <c r="P879" s="13"/>
      <c r="S879" s="13"/>
      <c r="T879" s="16"/>
    </row>
    <row r="880">
      <c r="D880" s="12"/>
      <c r="E880" s="12"/>
      <c r="I880" s="13"/>
      <c r="L880" s="14"/>
      <c r="P880" s="13"/>
      <c r="S880" s="13"/>
      <c r="T880" s="16"/>
    </row>
    <row r="881">
      <c r="D881" s="12"/>
      <c r="E881" s="12"/>
      <c r="I881" s="13"/>
      <c r="L881" s="14"/>
      <c r="P881" s="13"/>
      <c r="S881" s="13"/>
      <c r="T881" s="16"/>
    </row>
    <row r="882">
      <c r="D882" s="12"/>
      <c r="E882" s="12"/>
      <c r="I882" s="13"/>
      <c r="L882" s="14"/>
      <c r="P882" s="13"/>
      <c r="S882" s="13"/>
      <c r="T882" s="16"/>
    </row>
    <row r="883">
      <c r="D883" s="12"/>
      <c r="E883" s="12"/>
      <c r="I883" s="13"/>
      <c r="L883" s="14"/>
      <c r="P883" s="13"/>
      <c r="S883" s="13"/>
      <c r="T883" s="16"/>
    </row>
    <row r="884">
      <c r="D884" s="12"/>
      <c r="E884" s="12"/>
      <c r="I884" s="13"/>
      <c r="L884" s="14"/>
      <c r="P884" s="13"/>
      <c r="S884" s="13"/>
      <c r="T884" s="16"/>
    </row>
    <row r="885">
      <c r="D885" s="12"/>
      <c r="E885" s="12"/>
      <c r="I885" s="13"/>
      <c r="L885" s="14"/>
      <c r="P885" s="13"/>
      <c r="S885" s="13"/>
      <c r="T885" s="16"/>
    </row>
    <row r="886">
      <c r="D886" s="12"/>
      <c r="E886" s="12"/>
      <c r="I886" s="13"/>
      <c r="L886" s="14"/>
      <c r="P886" s="13"/>
      <c r="S886" s="13"/>
      <c r="T886" s="16"/>
    </row>
    <row r="887">
      <c r="D887" s="12"/>
      <c r="E887" s="12"/>
      <c r="I887" s="13"/>
      <c r="L887" s="14"/>
      <c r="P887" s="13"/>
      <c r="S887" s="13"/>
      <c r="T887" s="16"/>
    </row>
    <row r="888">
      <c r="D888" s="12"/>
      <c r="E888" s="12"/>
      <c r="I888" s="13"/>
      <c r="L888" s="14"/>
      <c r="P888" s="13"/>
      <c r="S888" s="13"/>
      <c r="T888" s="16"/>
    </row>
    <row r="889">
      <c r="D889" s="12"/>
      <c r="E889" s="12"/>
      <c r="I889" s="13"/>
      <c r="L889" s="14"/>
      <c r="P889" s="13"/>
      <c r="S889" s="13"/>
      <c r="T889" s="16"/>
    </row>
    <row r="890">
      <c r="D890" s="12"/>
      <c r="E890" s="12"/>
      <c r="I890" s="13"/>
      <c r="L890" s="14"/>
      <c r="P890" s="13"/>
      <c r="S890" s="13"/>
      <c r="T890" s="16"/>
    </row>
    <row r="891">
      <c r="D891" s="12"/>
      <c r="E891" s="12"/>
      <c r="I891" s="13"/>
      <c r="L891" s="14"/>
      <c r="P891" s="13"/>
      <c r="S891" s="13"/>
      <c r="T891" s="16"/>
    </row>
    <row r="892">
      <c r="D892" s="12"/>
      <c r="E892" s="12"/>
      <c r="I892" s="13"/>
      <c r="L892" s="14"/>
      <c r="P892" s="13"/>
      <c r="S892" s="13"/>
      <c r="T892" s="16"/>
    </row>
    <row r="893">
      <c r="D893" s="12"/>
      <c r="E893" s="12"/>
      <c r="I893" s="13"/>
      <c r="L893" s="14"/>
      <c r="P893" s="13"/>
      <c r="S893" s="13"/>
      <c r="T893" s="16"/>
    </row>
    <row r="894">
      <c r="D894" s="12"/>
      <c r="E894" s="12"/>
      <c r="I894" s="13"/>
      <c r="L894" s="14"/>
      <c r="P894" s="13"/>
      <c r="S894" s="13"/>
      <c r="T894" s="16"/>
    </row>
    <row r="895">
      <c r="D895" s="12"/>
      <c r="E895" s="12"/>
      <c r="I895" s="13"/>
      <c r="L895" s="14"/>
      <c r="P895" s="13"/>
      <c r="S895" s="13"/>
      <c r="T895" s="16"/>
    </row>
    <row r="896">
      <c r="D896" s="12"/>
      <c r="E896" s="12"/>
      <c r="I896" s="13"/>
      <c r="L896" s="14"/>
      <c r="P896" s="13"/>
      <c r="S896" s="13"/>
      <c r="T896" s="16"/>
    </row>
    <row r="897">
      <c r="D897" s="12"/>
      <c r="E897" s="12"/>
      <c r="I897" s="13"/>
      <c r="L897" s="14"/>
      <c r="P897" s="13"/>
      <c r="S897" s="13"/>
      <c r="T897" s="16"/>
    </row>
    <row r="898">
      <c r="D898" s="12"/>
      <c r="E898" s="12"/>
      <c r="I898" s="13"/>
      <c r="L898" s="14"/>
      <c r="P898" s="13"/>
      <c r="S898" s="13"/>
      <c r="T898" s="16"/>
    </row>
    <row r="899">
      <c r="D899" s="12"/>
      <c r="E899" s="12"/>
      <c r="I899" s="13"/>
      <c r="L899" s="14"/>
      <c r="P899" s="13"/>
      <c r="S899" s="13"/>
      <c r="T899" s="16"/>
    </row>
    <row r="900">
      <c r="D900" s="12"/>
      <c r="E900" s="12"/>
      <c r="I900" s="13"/>
      <c r="L900" s="14"/>
      <c r="P900" s="13"/>
      <c r="S900" s="13"/>
      <c r="T900" s="16"/>
    </row>
    <row r="901">
      <c r="D901" s="12"/>
      <c r="E901" s="12"/>
      <c r="I901" s="13"/>
      <c r="L901" s="14"/>
      <c r="P901" s="13"/>
      <c r="S901" s="13"/>
      <c r="T901" s="16"/>
    </row>
    <row r="902">
      <c r="D902" s="12"/>
      <c r="E902" s="12"/>
      <c r="I902" s="13"/>
      <c r="L902" s="14"/>
      <c r="P902" s="13"/>
      <c r="S902" s="13"/>
      <c r="T902" s="16"/>
    </row>
    <row r="903">
      <c r="D903" s="12"/>
      <c r="E903" s="12"/>
      <c r="I903" s="13"/>
      <c r="L903" s="14"/>
      <c r="P903" s="13"/>
      <c r="S903" s="13"/>
      <c r="T903" s="16"/>
    </row>
    <row r="904">
      <c r="D904" s="12"/>
      <c r="E904" s="12"/>
      <c r="I904" s="13"/>
      <c r="L904" s="14"/>
      <c r="P904" s="13"/>
      <c r="S904" s="13"/>
      <c r="T904" s="16"/>
    </row>
    <row r="905">
      <c r="D905" s="12"/>
      <c r="E905" s="12"/>
      <c r="I905" s="13"/>
      <c r="L905" s="14"/>
      <c r="P905" s="13"/>
      <c r="S905" s="13"/>
      <c r="T905" s="16"/>
    </row>
    <row r="906">
      <c r="D906" s="12"/>
      <c r="E906" s="12"/>
      <c r="I906" s="13"/>
      <c r="L906" s="14"/>
      <c r="P906" s="13"/>
      <c r="S906" s="13"/>
      <c r="T906" s="16"/>
    </row>
    <row r="907">
      <c r="D907" s="12"/>
      <c r="E907" s="12"/>
      <c r="I907" s="13"/>
      <c r="L907" s="14"/>
      <c r="P907" s="13"/>
      <c r="S907" s="13"/>
      <c r="T907" s="16"/>
    </row>
    <row r="908">
      <c r="D908" s="12"/>
      <c r="E908" s="12"/>
      <c r="I908" s="13"/>
      <c r="L908" s="14"/>
      <c r="P908" s="13"/>
      <c r="S908" s="13"/>
      <c r="T908" s="16"/>
    </row>
    <row r="909">
      <c r="D909" s="12"/>
      <c r="E909" s="12"/>
      <c r="I909" s="13"/>
      <c r="L909" s="14"/>
      <c r="P909" s="13"/>
      <c r="S909" s="13"/>
      <c r="T909" s="16"/>
    </row>
    <row r="910">
      <c r="D910" s="12"/>
      <c r="E910" s="12"/>
      <c r="I910" s="13"/>
      <c r="L910" s="14"/>
      <c r="P910" s="13"/>
      <c r="S910" s="13"/>
      <c r="T910" s="16"/>
    </row>
    <row r="911">
      <c r="D911" s="12"/>
      <c r="E911" s="12"/>
      <c r="I911" s="13"/>
      <c r="L911" s="14"/>
      <c r="P911" s="13"/>
      <c r="S911" s="13"/>
      <c r="T911" s="16"/>
    </row>
    <row r="912">
      <c r="D912" s="12"/>
      <c r="E912" s="12"/>
      <c r="I912" s="13"/>
      <c r="L912" s="14"/>
      <c r="P912" s="13"/>
      <c r="S912" s="13"/>
      <c r="T912" s="16"/>
    </row>
    <row r="913">
      <c r="D913" s="12"/>
      <c r="E913" s="12"/>
      <c r="I913" s="13"/>
      <c r="L913" s="14"/>
      <c r="P913" s="13"/>
      <c r="S913" s="13"/>
      <c r="T913" s="16"/>
    </row>
    <row r="914">
      <c r="D914" s="12"/>
      <c r="E914" s="12"/>
      <c r="I914" s="13"/>
      <c r="L914" s="14"/>
      <c r="P914" s="13"/>
      <c r="S914" s="13"/>
      <c r="T914" s="16"/>
    </row>
    <row r="915">
      <c r="D915" s="12"/>
      <c r="E915" s="12"/>
      <c r="I915" s="13"/>
      <c r="L915" s="14"/>
      <c r="P915" s="13"/>
      <c r="S915" s="13"/>
      <c r="T915" s="16"/>
    </row>
    <row r="916">
      <c r="D916" s="12"/>
      <c r="E916" s="12"/>
      <c r="I916" s="13"/>
      <c r="L916" s="14"/>
      <c r="P916" s="13"/>
      <c r="S916" s="13"/>
      <c r="T916" s="16"/>
    </row>
    <row r="917">
      <c r="D917" s="12"/>
      <c r="E917" s="12"/>
      <c r="I917" s="13"/>
      <c r="L917" s="14"/>
      <c r="P917" s="13"/>
      <c r="S917" s="13"/>
      <c r="T917" s="16"/>
    </row>
    <row r="918">
      <c r="D918" s="12"/>
      <c r="E918" s="12"/>
      <c r="I918" s="13"/>
      <c r="L918" s="14"/>
      <c r="P918" s="13"/>
      <c r="S918" s="13"/>
      <c r="T918" s="16"/>
    </row>
    <row r="919">
      <c r="D919" s="12"/>
      <c r="E919" s="12"/>
      <c r="I919" s="13"/>
      <c r="L919" s="14"/>
      <c r="P919" s="13"/>
      <c r="S919" s="13"/>
      <c r="T919" s="16"/>
    </row>
    <row r="920">
      <c r="D920" s="12"/>
      <c r="E920" s="12"/>
      <c r="I920" s="13"/>
      <c r="L920" s="14"/>
      <c r="P920" s="13"/>
      <c r="S920" s="13"/>
      <c r="T920" s="16"/>
    </row>
    <row r="921">
      <c r="D921" s="12"/>
      <c r="E921" s="12"/>
      <c r="I921" s="13"/>
      <c r="L921" s="14"/>
      <c r="P921" s="13"/>
      <c r="S921" s="13"/>
      <c r="T921" s="16"/>
    </row>
    <row r="922">
      <c r="D922" s="12"/>
      <c r="E922" s="12"/>
      <c r="I922" s="13"/>
      <c r="L922" s="14"/>
      <c r="P922" s="13"/>
      <c r="S922" s="13"/>
      <c r="T922" s="16"/>
    </row>
    <row r="923">
      <c r="D923" s="12"/>
      <c r="E923" s="12"/>
      <c r="I923" s="13"/>
      <c r="L923" s="14"/>
      <c r="P923" s="13"/>
      <c r="S923" s="13"/>
      <c r="T923" s="16"/>
    </row>
    <row r="924">
      <c r="D924" s="12"/>
      <c r="E924" s="12"/>
      <c r="I924" s="13"/>
      <c r="L924" s="14"/>
      <c r="P924" s="13"/>
      <c r="S924" s="13"/>
      <c r="T924" s="16"/>
    </row>
    <row r="925">
      <c r="D925" s="12"/>
      <c r="E925" s="12"/>
      <c r="I925" s="13"/>
      <c r="L925" s="14"/>
      <c r="P925" s="13"/>
      <c r="S925" s="13"/>
      <c r="T925" s="16"/>
    </row>
    <row r="926">
      <c r="D926" s="12"/>
      <c r="E926" s="12"/>
      <c r="I926" s="13"/>
      <c r="L926" s="14"/>
      <c r="P926" s="13"/>
      <c r="S926" s="13"/>
      <c r="T926" s="16"/>
    </row>
    <row r="927">
      <c r="D927" s="12"/>
      <c r="E927" s="12"/>
      <c r="I927" s="13"/>
      <c r="L927" s="14"/>
      <c r="P927" s="13"/>
      <c r="S927" s="13"/>
      <c r="T927" s="16"/>
    </row>
    <row r="928">
      <c r="D928" s="12"/>
      <c r="E928" s="12"/>
      <c r="I928" s="13"/>
      <c r="L928" s="14"/>
      <c r="P928" s="13"/>
      <c r="S928" s="13"/>
      <c r="T928" s="16"/>
    </row>
    <row r="929">
      <c r="D929" s="12"/>
      <c r="E929" s="12"/>
      <c r="I929" s="13"/>
      <c r="L929" s="14"/>
      <c r="P929" s="13"/>
      <c r="S929" s="13"/>
      <c r="T929" s="16"/>
    </row>
    <row r="930">
      <c r="D930" s="12"/>
      <c r="E930" s="12"/>
      <c r="I930" s="13"/>
      <c r="L930" s="14"/>
      <c r="P930" s="13"/>
      <c r="S930" s="13"/>
      <c r="T930" s="16"/>
    </row>
    <row r="931">
      <c r="D931" s="12"/>
      <c r="E931" s="12"/>
      <c r="I931" s="13"/>
      <c r="L931" s="14"/>
      <c r="P931" s="13"/>
      <c r="S931" s="13"/>
      <c r="T931" s="16"/>
    </row>
    <row r="932">
      <c r="D932" s="12"/>
      <c r="E932" s="12"/>
      <c r="I932" s="13"/>
      <c r="L932" s="14"/>
      <c r="P932" s="13"/>
      <c r="S932" s="13"/>
      <c r="T932" s="16"/>
    </row>
    <row r="933">
      <c r="D933" s="12"/>
      <c r="E933" s="12"/>
      <c r="I933" s="13"/>
      <c r="L933" s="14"/>
      <c r="P933" s="13"/>
      <c r="S933" s="13"/>
      <c r="T933" s="16"/>
    </row>
    <row r="934">
      <c r="D934" s="12"/>
      <c r="E934" s="12"/>
      <c r="I934" s="13"/>
      <c r="L934" s="14"/>
      <c r="P934" s="13"/>
      <c r="S934" s="13"/>
      <c r="T934" s="16"/>
    </row>
    <row r="935">
      <c r="D935" s="12"/>
      <c r="E935" s="12"/>
      <c r="I935" s="13"/>
      <c r="L935" s="14"/>
      <c r="P935" s="13"/>
      <c r="S935" s="13"/>
      <c r="T935" s="16"/>
    </row>
    <row r="936">
      <c r="D936" s="12"/>
      <c r="E936" s="12"/>
      <c r="I936" s="13"/>
      <c r="L936" s="14"/>
      <c r="P936" s="13"/>
      <c r="S936" s="13"/>
      <c r="T936" s="16"/>
    </row>
    <row r="937">
      <c r="D937" s="12"/>
      <c r="E937" s="12"/>
      <c r="I937" s="13"/>
      <c r="L937" s="14"/>
      <c r="P937" s="13"/>
      <c r="S937" s="13"/>
      <c r="T937" s="16"/>
    </row>
    <row r="938">
      <c r="D938" s="12"/>
      <c r="E938" s="12"/>
      <c r="I938" s="13"/>
      <c r="L938" s="14"/>
      <c r="P938" s="13"/>
      <c r="S938" s="13"/>
      <c r="T938" s="16"/>
    </row>
    <row r="939">
      <c r="D939" s="12"/>
      <c r="E939" s="12"/>
      <c r="I939" s="13"/>
      <c r="L939" s="14"/>
      <c r="P939" s="13"/>
      <c r="S939" s="13"/>
      <c r="T939" s="16"/>
    </row>
    <row r="940">
      <c r="D940" s="12"/>
      <c r="E940" s="12"/>
      <c r="I940" s="13"/>
      <c r="L940" s="14"/>
      <c r="P940" s="13"/>
      <c r="S940" s="13"/>
      <c r="T940" s="16"/>
    </row>
    <row r="941">
      <c r="D941" s="12"/>
      <c r="E941" s="12"/>
      <c r="I941" s="13"/>
      <c r="L941" s="14"/>
      <c r="P941" s="13"/>
      <c r="S941" s="13"/>
      <c r="T941" s="16"/>
    </row>
    <row r="942">
      <c r="D942" s="12"/>
      <c r="E942" s="12"/>
      <c r="I942" s="13"/>
      <c r="L942" s="14"/>
      <c r="P942" s="13"/>
      <c r="S942" s="13"/>
      <c r="T942" s="16"/>
    </row>
    <row r="943">
      <c r="D943" s="12"/>
      <c r="E943" s="12"/>
      <c r="I943" s="13"/>
      <c r="L943" s="14"/>
      <c r="P943" s="13"/>
      <c r="S943" s="13"/>
      <c r="T943" s="16"/>
    </row>
    <row r="944">
      <c r="D944" s="12"/>
      <c r="E944" s="12"/>
      <c r="I944" s="13"/>
      <c r="L944" s="14"/>
      <c r="P944" s="13"/>
      <c r="S944" s="13"/>
      <c r="T944" s="16"/>
    </row>
    <row r="945">
      <c r="D945" s="12"/>
      <c r="E945" s="12"/>
      <c r="I945" s="13"/>
      <c r="L945" s="14"/>
      <c r="P945" s="13"/>
      <c r="S945" s="13"/>
      <c r="T945" s="16"/>
    </row>
    <row r="946">
      <c r="D946" s="12"/>
      <c r="E946" s="12"/>
      <c r="I946" s="13"/>
      <c r="L946" s="14"/>
      <c r="P946" s="13"/>
      <c r="S946" s="13"/>
      <c r="T946" s="16"/>
    </row>
    <row r="947">
      <c r="D947" s="12"/>
      <c r="E947" s="12"/>
      <c r="I947" s="13"/>
      <c r="L947" s="14"/>
      <c r="P947" s="13"/>
      <c r="S947" s="13"/>
      <c r="T947" s="16"/>
    </row>
    <row r="948">
      <c r="D948" s="12"/>
      <c r="E948" s="12"/>
      <c r="I948" s="13"/>
      <c r="L948" s="14"/>
      <c r="P948" s="13"/>
      <c r="S948" s="13"/>
      <c r="T948" s="16"/>
    </row>
    <row r="949">
      <c r="D949" s="12"/>
      <c r="E949" s="12"/>
      <c r="I949" s="13"/>
      <c r="L949" s="14"/>
      <c r="P949" s="13"/>
      <c r="S949" s="13"/>
      <c r="T949" s="16"/>
    </row>
    <row r="950">
      <c r="D950" s="12"/>
      <c r="E950" s="12"/>
      <c r="I950" s="13"/>
      <c r="L950" s="14"/>
      <c r="P950" s="13"/>
      <c r="S950" s="13"/>
      <c r="T950" s="16"/>
    </row>
    <row r="951">
      <c r="D951" s="12"/>
      <c r="E951" s="12"/>
      <c r="I951" s="13"/>
      <c r="L951" s="14"/>
      <c r="P951" s="13"/>
      <c r="S951" s="13"/>
      <c r="T951" s="16"/>
    </row>
    <row r="952">
      <c r="D952" s="12"/>
      <c r="E952" s="12"/>
      <c r="I952" s="13"/>
      <c r="L952" s="14"/>
      <c r="P952" s="13"/>
      <c r="S952" s="13"/>
      <c r="T952" s="16"/>
    </row>
    <row r="953">
      <c r="D953" s="12"/>
      <c r="E953" s="12"/>
      <c r="I953" s="13"/>
      <c r="L953" s="14"/>
      <c r="P953" s="13"/>
      <c r="S953" s="13"/>
      <c r="T953" s="16"/>
    </row>
    <row r="954">
      <c r="D954" s="12"/>
      <c r="E954" s="12"/>
      <c r="I954" s="13"/>
      <c r="L954" s="14"/>
      <c r="P954" s="13"/>
      <c r="S954" s="13"/>
      <c r="T954" s="16"/>
    </row>
    <row r="955">
      <c r="D955" s="12"/>
      <c r="E955" s="12"/>
      <c r="I955" s="13"/>
      <c r="L955" s="14"/>
      <c r="P955" s="13"/>
      <c r="S955" s="13"/>
      <c r="T955" s="16"/>
    </row>
    <row r="956">
      <c r="D956" s="12"/>
      <c r="E956" s="12"/>
      <c r="I956" s="13"/>
      <c r="L956" s="14"/>
      <c r="P956" s="13"/>
      <c r="S956" s="13"/>
      <c r="T956" s="16"/>
    </row>
    <row r="957">
      <c r="D957" s="12"/>
      <c r="E957" s="12"/>
      <c r="I957" s="13"/>
      <c r="L957" s="14"/>
      <c r="P957" s="13"/>
      <c r="S957" s="13"/>
      <c r="T957" s="16"/>
    </row>
    <row r="958">
      <c r="D958" s="12"/>
      <c r="E958" s="12"/>
      <c r="I958" s="13"/>
      <c r="L958" s="14"/>
      <c r="P958" s="13"/>
      <c r="S958" s="13"/>
      <c r="T958" s="16"/>
    </row>
    <row r="959">
      <c r="D959" s="12"/>
      <c r="E959" s="12"/>
      <c r="I959" s="13"/>
      <c r="L959" s="14"/>
      <c r="P959" s="13"/>
      <c r="S959" s="13"/>
      <c r="T959" s="16"/>
    </row>
    <row r="960">
      <c r="D960" s="12"/>
      <c r="E960" s="12"/>
      <c r="I960" s="13"/>
      <c r="L960" s="14"/>
      <c r="P960" s="13"/>
      <c r="S960" s="13"/>
      <c r="T960" s="16"/>
    </row>
    <row r="961">
      <c r="D961" s="12"/>
      <c r="E961" s="12"/>
      <c r="I961" s="13"/>
      <c r="L961" s="14"/>
      <c r="P961" s="13"/>
      <c r="S961" s="13"/>
      <c r="T961" s="16"/>
    </row>
    <row r="962">
      <c r="D962" s="12"/>
      <c r="E962" s="12"/>
      <c r="I962" s="13"/>
      <c r="L962" s="14"/>
      <c r="P962" s="13"/>
      <c r="S962" s="13"/>
      <c r="T962" s="16"/>
    </row>
    <row r="963">
      <c r="D963" s="12"/>
      <c r="E963" s="12"/>
      <c r="I963" s="13"/>
      <c r="L963" s="14"/>
      <c r="P963" s="13"/>
      <c r="S963" s="13"/>
      <c r="T963" s="16"/>
    </row>
    <row r="964">
      <c r="D964" s="12"/>
      <c r="E964" s="12"/>
      <c r="I964" s="13"/>
      <c r="L964" s="14"/>
      <c r="P964" s="13"/>
      <c r="S964" s="13"/>
      <c r="T964" s="16"/>
    </row>
    <row r="965">
      <c r="D965" s="12"/>
      <c r="E965" s="12"/>
      <c r="I965" s="13"/>
      <c r="L965" s="14"/>
      <c r="P965" s="13"/>
      <c r="S965" s="13"/>
      <c r="T965" s="16"/>
    </row>
    <row r="966">
      <c r="D966" s="12"/>
      <c r="E966" s="12"/>
      <c r="I966" s="13"/>
      <c r="L966" s="14"/>
      <c r="P966" s="13"/>
      <c r="S966" s="13"/>
      <c r="T966" s="16"/>
    </row>
    <row r="967">
      <c r="D967" s="12"/>
      <c r="E967" s="12"/>
      <c r="I967" s="13"/>
      <c r="L967" s="14"/>
      <c r="P967" s="13"/>
      <c r="S967" s="13"/>
      <c r="T967" s="16"/>
    </row>
    <row r="968">
      <c r="D968" s="12"/>
      <c r="E968" s="12"/>
      <c r="I968" s="13"/>
      <c r="L968" s="14"/>
      <c r="P968" s="13"/>
      <c r="S968" s="13"/>
      <c r="T968" s="16"/>
    </row>
    <row r="969">
      <c r="D969" s="12"/>
      <c r="E969" s="12"/>
      <c r="I969" s="13"/>
      <c r="L969" s="14"/>
      <c r="P969" s="13"/>
      <c r="S969" s="13"/>
      <c r="T969" s="16"/>
    </row>
    <row r="970">
      <c r="D970" s="12"/>
      <c r="E970" s="12"/>
      <c r="I970" s="13"/>
      <c r="L970" s="14"/>
      <c r="P970" s="13"/>
      <c r="S970" s="13"/>
      <c r="T970" s="16"/>
    </row>
    <row r="971">
      <c r="D971" s="12"/>
      <c r="E971" s="12"/>
      <c r="I971" s="13"/>
      <c r="L971" s="14"/>
      <c r="P971" s="13"/>
      <c r="S971" s="13"/>
      <c r="T971" s="16"/>
    </row>
    <row r="972">
      <c r="D972" s="12"/>
      <c r="E972" s="12"/>
      <c r="I972" s="13"/>
      <c r="L972" s="14"/>
      <c r="P972" s="13"/>
      <c r="S972" s="13"/>
      <c r="T972" s="16"/>
    </row>
    <row r="973">
      <c r="D973" s="12"/>
      <c r="E973" s="12"/>
      <c r="I973" s="13"/>
      <c r="L973" s="14"/>
      <c r="P973" s="13"/>
      <c r="S973" s="13"/>
      <c r="T973" s="16"/>
    </row>
    <row r="974">
      <c r="D974" s="12"/>
      <c r="E974" s="12"/>
      <c r="I974" s="13"/>
      <c r="L974" s="14"/>
      <c r="P974" s="13"/>
      <c r="S974" s="13"/>
      <c r="T974" s="16"/>
    </row>
    <row r="975">
      <c r="D975" s="12"/>
      <c r="E975" s="12"/>
      <c r="I975" s="13"/>
      <c r="L975" s="14"/>
      <c r="P975" s="13"/>
      <c r="S975" s="13"/>
      <c r="T975" s="16"/>
    </row>
    <row r="976">
      <c r="D976" s="12"/>
      <c r="E976" s="12"/>
      <c r="I976" s="13"/>
      <c r="L976" s="14"/>
      <c r="P976" s="13"/>
      <c r="S976" s="13"/>
      <c r="T976" s="16"/>
    </row>
    <row r="977">
      <c r="D977" s="12"/>
      <c r="E977" s="12"/>
      <c r="I977" s="13"/>
      <c r="L977" s="14"/>
      <c r="P977" s="13"/>
      <c r="S977" s="13"/>
      <c r="T977" s="16"/>
    </row>
    <row r="978">
      <c r="D978" s="12"/>
      <c r="E978" s="12"/>
      <c r="I978" s="13"/>
      <c r="L978" s="14"/>
      <c r="P978" s="13"/>
      <c r="S978" s="13"/>
      <c r="T978" s="16"/>
    </row>
    <row r="979">
      <c r="D979" s="12"/>
      <c r="E979" s="12"/>
      <c r="I979" s="13"/>
      <c r="L979" s="14"/>
      <c r="P979" s="13"/>
      <c r="S979" s="13"/>
      <c r="T979" s="16"/>
    </row>
    <row r="980">
      <c r="D980" s="12"/>
      <c r="E980" s="12"/>
      <c r="I980" s="13"/>
      <c r="L980" s="14"/>
      <c r="P980" s="13"/>
      <c r="S980" s="13"/>
      <c r="T980" s="16"/>
    </row>
    <row r="981">
      <c r="D981" s="12"/>
      <c r="E981" s="12"/>
      <c r="I981" s="13"/>
      <c r="L981" s="14"/>
      <c r="P981" s="13"/>
      <c r="S981" s="13"/>
      <c r="T981" s="16"/>
    </row>
    <row r="982">
      <c r="D982" s="12"/>
      <c r="E982" s="12"/>
      <c r="I982" s="13"/>
      <c r="L982" s="14"/>
      <c r="P982" s="13"/>
      <c r="S982" s="13"/>
      <c r="T982" s="16"/>
    </row>
    <row r="983">
      <c r="D983" s="12"/>
      <c r="E983" s="12"/>
      <c r="I983" s="13"/>
      <c r="L983" s="14"/>
      <c r="P983" s="13"/>
      <c r="S983" s="13"/>
      <c r="T983" s="16"/>
    </row>
    <row r="984">
      <c r="D984" s="12"/>
      <c r="E984" s="12"/>
      <c r="I984" s="13"/>
      <c r="L984" s="14"/>
      <c r="P984" s="13"/>
      <c r="S984" s="13"/>
      <c r="T984" s="16"/>
    </row>
    <row r="985">
      <c r="D985" s="12"/>
      <c r="E985" s="12"/>
      <c r="I985" s="13"/>
      <c r="L985" s="14"/>
      <c r="P985" s="13"/>
      <c r="S985" s="13"/>
      <c r="T985" s="16"/>
    </row>
    <row r="986">
      <c r="D986" s="12"/>
      <c r="E986" s="12"/>
      <c r="I986" s="13"/>
      <c r="L986" s="14"/>
      <c r="P986" s="13"/>
      <c r="S986" s="13"/>
      <c r="T986" s="16"/>
    </row>
    <row r="987">
      <c r="D987" s="12"/>
      <c r="E987" s="12"/>
      <c r="I987" s="13"/>
      <c r="L987" s="14"/>
      <c r="P987" s="13"/>
      <c r="S987" s="13"/>
      <c r="T987" s="16"/>
    </row>
    <row r="988">
      <c r="D988" s="12"/>
      <c r="E988" s="12"/>
      <c r="I988" s="13"/>
      <c r="L988" s="14"/>
      <c r="P988" s="13"/>
      <c r="S988" s="13"/>
      <c r="T988" s="16"/>
    </row>
    <row r="989">
      <c r="D989" s="12"/>
      <c r="E989" s="12"/>
      <c r="I989" s="13"/>
      <c r="L989" s="14"/>
      <c r="P989" s="13"/>
      <c r="S989" s="13"/>
      <c r="T989" s="16"/>
    </row>
    <row r="990">
      <c r="D990" s="12"/>
      <c r="E990" s="12"/>
      <c r="I990" s="13"/>
      <c r="L990" s="14"/>
      <c r="P990" s="13"/>
      <c r="S990" s="13"/>
      <c r="T990" s="16"/>
    </row>
    <row r="991">
      <c r="D991" s="12"/>
      <c r="E991" s="12"/>
      <c r="I991" s="13"/>
      <c r="L991" s="14"/>
      <c r="P991" s="13"/>
      <c r="S991" s="13"/>
      <c r="T991" s="16"/>
    </row>
    <row r="992">
      <c r="D992" s="12"/>
      <c r="E992" s="12"/>
      <c r="I992" s="13"/>
      <c r="L992" s="14"/>
      <c r="P992" s="13"/>
      <c r="S992" s="13"/>
      <c r="T992" s="16"/>
    </row>
    <row r="993">
      <c r="D993" s="12"/>
      <c r="E993" s="12"/>
      <c r="I993" s="13"/>
      <c r="L993" s="14"/>
      <c r="P993" s="13"/>
      <c r="S993" s="13"/>
      <c r="T993" s="16"/>
    </row>
    <row r="994">
      <c r="D994" s="12"/>
      <c r="E994" s="12"/>
      <c r="I994" s="13"/>
      <c r="L994" s="14"/>
      <c r="P994" s="13"/>
      <c r="S994" s="13"/>
      <c r="T994" s="16"/>
    </row>
    <row r="995">
      <c r="D995" s="12"/>
      <c r="E995" s="12"/>
      <c r="I995" s="13"/>
      <c r="L995" s="14"/>
      <c r="P995" s="13"/>
      <c r="S995" s="13"/>
      <c r="T995" s="16"/>
    </row>
    <row r="996">
      <c r="D996" s="12"/>
      <c r="E996" s="12"/>
      <c r="I996" s="13"/>
      <c r="L996" s="14"/>
      <c r="P996" s="13"/>
      <c r="S996" s="13"/>
      <c r="T996" s="16"/>
    </row>
    <row r="997">
      <c r="D997" s="12"/>
      <c r="E997" s="12"/>
      <c r="I997" s="13"/>
      <c r="L997" s="14"/>
      <c r="P997" s="13"/>
      <c r="S997" s="13"/>
      <c r="T997" s="16"/>
    </row>
    <row r="998">
      <c r="D998" s="12"/>
      <c r="E998" s="12"/>
      <c r="I998" s="13"/>
      <c r="L998" s="14"/>
      <c r="P998" s="13"/>
      <c r="S998" s="13"/>
      <c r="T998" s="16"/>
    </row>
    <row r="999">
      <c r="D999" s="12"/>
      <c r="E999" s="12"/>
      <c r="I999" s="13"/>
      <c r="L999" s="14"/>
      <c r="P999" s="13"/>
      <c r="S999" s="13"/>
      <c r="T999" s="16"/>
    </row>
    <row r="1000">
      <c r="D1000" s="12"/>
      <c r="E1000" s="12"/>
      <c r="I1000" s="13"/>
      <c r="L1000" s="14"/>
      <c r="P1000" s="13"/>
      <c r="S1000" s="13"/>
      <c r="T1000" s="16"/>
    </row>
  </sheetData>
  <conditionalFormatting sqref="S1:Y1">
    <cfRule type="notContainsBlanks" dxfId="3" priority="1">
      <formula>LEN(TRIM(S1))&gt;0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7.5"/>
    <col customWidth="1" min="3" max="3" width="24.5"/>
    <col customWidth="1" min="4" max="4" width="21.5"/>
    <col customWidth="1" min="5" max="5" width="31.5"/>
    <col customWidth="1" min="12" max="16" width="12.63"/>
    <col customWidth="1" min="17" max="17" width="25.5"/>
    <col customWidth="1" min="18" max="18" width="31.5"/>
    <col customWidth="1" min="19" max="19" width="25.5"/>
  </cols>
  <sheetData>
    <row r="1" ht="22.5" customHeight="1">
      <c r="A1" s="17" t="s">
        <v>626</v>
      </c>
      <c r="B1" s="17" t="s">
        <v>627</v>
      </c>
      <c r="C1" s="17" t="s">
        <v>628</v>
      </c>
      <c r="D1" s="17" t="s">
        <v>629</v>
      </c>
      <c r="E1" s="17" t="s">
        <v>630</v>
      </c>
      <c r="N1" s="18"/>
      <c r="O1" s="19"/>
      <c r="P1" s="19"/>
      <c r="Q1" s="19"/>
      <c r="R1" s="19"/>
      <c r="S1" s="19"/>
      <c r="T1" s="18"/>
      <c r="U1" s="18"/>
      <c r="V1" s="18"/>
      <c r="W1" s="18"/>
      <c r="X1" s="18"/>
    </row>
    <row r="2" ht="22.5" customHeight="1">
      <c r="A2" s="20" t="s">
        <v>22</v>
      </c>
      <c r="B2" s="21">
        <f>IFERROR(AVERAGEIF(Sheet1!$C$2:$C$301, $A2, Sheet1!$J$2:$J$301), 0)</f>
        <v>7.782524272</v>
      </c>
      <c r="C2" s="21">
        <f>IFERROR(AVERAGEIF(Sheet1!$C$2:$C$301, $A2, Sheet1!$K$2:$K$301), 0)</f>
        <v>7.814563107</v>
      </c>
      <c r="D2" s="22">
        <f>IFERROR(AVERAGEIF(Sheet1!$C$2:$C$301, $A2, Sheet1!$S$2:$S$301), 0)</f>
        <v>0.6980339806</v>
      </c>
      <c r="E2" s="21">
        <f>IFERROR(AVERAGEIF(Sheet1!$C$2:$C$301, $A2, Sheet1!$O$2:$O$301), 0)</f>
        <v>39.90291262</v>
      </c>
      <c r="N2" s="18"/>
      <c r="O2" s="19"/>
      <c r="P2" s="19"/>
      <c r="Q2" s="19"/>
      <c r="R2" s="19"/>
      <c r="S2" s="19"/>
      <c r="T2" s="18"/>
      <c r="U2" s="18"/>
      <c r="V2" s="18"/>
      <c r="W2" s="18"/>
      <c r="X2" s="18"/>
    </row>
    <row r="3" ht="22.5" customHeight="1">
      <c r="A3" s="20" t="s">
        <v>28</v>
      </c>
      <c r="B3" s="21">
        <f>IFERROR(AVERAGEIF(Sheet1!$C$2:$C$301, $A3, Sheet1!$J$2:$J$301), 0)</f>
        <v>5.686734694</v>
      </c>
      <c r="C3" s="21">
        <f>IFERROR(AVERAGEIF(Sheet1!$C$2:$C$301, $A3, Sheet1!$K$2:$K$301), 0)</f>
        <v>5.6</v>
      </c>
      <c r="D3" s="22">
        <f>IFERROR(AVERAGEIF(Sheet1!$C$2:$C$301, $A3, Sheet1!$S$2:$S$301), 0)</f>
        <v>0.6786663265</v>
      </c>
      <c r="E3" s="21">
        <f>IFERROR(AVERAGEIF(Sheet1!$C$2:$C$301, $A3, Sheet1!$O$2:$O$301), 0)</f>
        <v>30.31632653</v>
      </c>
      <c r="N3" s="18"/>
      <c r="O3" s="19"/>
      <c r="P3" s="19"/>
      <c r="Q3" s="19"/>
      <c r="R3" s="19"/>
      <c r="S3" s="19"/>
      <c r="T3" s="18"/>
      <c r="U3" s="18"/>
      <c r="V3" s="18"/>
      <c r="W3" s="18"/>
      <c r="X3" s="18"/>
    </row>
    <row r="4" ht="22.5" customHeight="1">
      <c r="A4" s="20" t="s">
        <v>32</v>
      </c>
      <c r="B4" s="21">
        <f>IFERROR(AVERAGEIF(Sheet1!$C$2:$C$301, $A4, Sheet1!$J$2:$J$301), 0)</f>
        <v>4.122222222</v>
      </c>
      <c r="C4" s="21">
        <f>IFERROR(AVERAGEIF(Sheet1!$C$2:$C$301, $A4, Sheet1!$K$2:$K$301), 0)</f>
        <v>4.078787879</v>
      </c>
      <c r="D4" s="22">
        <f>IFERROR(AVERAGEIF(Sheet1!$C$2:$C$301, $A4, Sheet1!$S$2:$S$301), 0)</f>
        <v>0.6506020202</v>
      </c>
      <c r="E4" s="21">
        <f>IFERROR(AVERAGEIF(Sheet1!$C$2:$C$301, $A4, Sheet1!$O$2:$O$301), 0)</f>
        <v>19.29292929</v>
      </c>
      <c r="N4" s="18"/>
      <c r="O4" s="19"/>
      <c r="P4" s="19"/>
      <c r="Q4" s="19"/>
      <c r="R4" s="19"/>
      <c r="S4" s="19"/>
      <c r="T4" s="18"/>
      <c r="U4" s="18"/>
      <c r="V4" s="18"/>
      <c r="W4" s="18"/>
      <c r="X4" s="18"/>
    </row>
    <row r="5">
      <c r="A5" s="18"/>
      <c r="B5" s="18"/>
      <c r="C5" s="18"/>
      <c r="D5" s="18"/>
      <c r="E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ht="22.5" customHeight="1">
      <c r="A6" s="17" t="s">
        <v>639</v>
      </c>
      <c r="B6" s="17" t="s">
        <v>626</v>
      </c>
      <c r="C6" s="17" t="s">
        <v>640</v>
      </c>
      <c r="D6" s="17" t="s">
        <v>641</v>
      </c>
      <c r="E6" s="17" t="s">
        <v>642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ht="22.5" customHeight="1">
      <c r="A7" s="24" t="str">
        <f>IFERROR(__xludf.DUMMYFUNCTION("SORTN({Sheet1!$B$2:$B$301, Sheet1!$C$2:$C$301, Sheet1!$J$2:$J$301, Sheet1!$K$2:$K$301, Sheet1!$S$2:$S$301}, 5, 0, 3, FALSE)"),"#REF!")</f>
        <v>#REF!</v>
      </c>
      <c r="B7" s="25" t="s">
        <v>22</v>
      </c>
      <c r="C7" s="21">
        <v>10.0</v>
      </c>
      <c r="D7" s="21">
        <v>8.0</v>
      </c>
      <c r="E7" s="22">
        <v>0.7941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</row>
    <row r="8" ht="22.5" customHeight="1">
      <c r="A8" s="24" t="s">
        <v>213</v>
      </c>
      <c r="B8" s="25" t="s">
        <v>28</v>
      </c>
      <c r="C8" s="21">
        <v>10.0</v>
      </c>
      <c r="D8" s="21">
        <v>9.5</v>
      </c>
      <c r="E8" s="22">
        <v>0.871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22.5" customHeight="1">
      <c r="A9" s="24" t="s">
        <v>235</v>
      </c>
      <c r="B9" s="25" t="s">
        <v>28</v>
      </c>
      <c r="C9" s="21">
        <v>9.9</v>
      </c>
      <c r="D9" s="21">
        <v>7.1</v>
      </c>
      <c r="E9" s="22">
        <v>0.8571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22.5" customHeight="1">
      <c r="A10" s="24" t="s">
        <v>553</v>
      </c>
      <c r="B10" s="25" t="s">
        <v>22</v>
      </c>
      <c r="C10" s="21">
        <v>9.9</v>
      </c>
      <c r="D10" s="21">
        <v>6.0</v>
      </c>
      <c r="E10" s="22">
        <v>0.6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22.5" customHeight="1">
      <c r="A11" s="24" t="s">
        <v>61</v>
      </c>
      <c r="B11" s="25" t="s">
        <v>22</v>
      </c>
      <c r="C11" s="21">
        <v>9.9</v>
      </c>
      <c r="D11" s="21">
        <v>7.1</v>
      </c>
      <c r="E11" s="22">
        <v>0.8333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22.5" customHeight="1">
      <c r="A12" s="24" t="s">
        <v>441</v>
      </c>
      <c r="B12" s="25" t="s">
        <v>32</v>
      </c>
      <c r="C12" s="21">
        <v>9.9</v>
      </c>
      <c r="D12" s="21">
        <v>8.1</v>
      </c>
      <c r="E12" s="22">
        <v>0.8</v>
      </c>
      <c r="F12" s="18"/>
      <c r="G12" s="18"/>
      <c r="H12" s="18"/>
      <c r="I12" s="18"/>
      <c r="J12" s="18"/>
      <c r="K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ht="22.5" customHeight="1">
      <c r="A13" s="24" t="s">
        <v>85</v>
      </c>
      <c r="B13" s="25" t="s">
        <v>32</v>
      </c>
      <c r="C13" s="21">
        <v>9.8</v>
      </c>
      <c r="D13" s="21">
        <v>8.5</v>
      </c>
      <c r="E13" s="22">
        <v>0.75</v>
      </c>
      <c r="F13" s="18"/>
      <c r="G13" s="18"/>
      <c r="H13" s="18"/>
      <c r="I13" s="18"/>
      <c r="J13" s="18"/>
      <c r="K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ht="22.5" customHeight="1">
      <c r="A14" s="24" t="s">
        <v>77</v>
      </c>
      <c r="B14" s="25" t="s">
        <v>32</v>
      </c>
      <c r="C14" s="21">
        <v>9.8</v>
      </c>
      <c r="D14" s="21">
        <v>8.3</v>
      </c>
      <c r="E14" s="22">
        <v>0.8537</v>
      </c>
      <c r="F14" s="18"/>
      <c r="G14" s="18"/>
      <c r="H14" s="18"/>
      <c r="I14" s="18"/>
      <c r="J14" s="18"/>
      <c r="K14" s="18"/>
      <c r="L14" s="26" t="s">
        <v>626</v>
      </c>
      <c r="M14" s="26" t="s">
        <v>627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ht="22.5" customHeight="1">
      <c r="A15" s="24" t="s">
        <v>329</v>
      </c>
      <c r="B15" s="25" t="s">
        <v>28</v>
      </c>
      <c r="C15" s="21">
        <v>9.8</v>
      </c>
      <c r="D15" s="21">
        <v>7.5</v>
      </c>
      <c r="E15" s="22">
        <v>0.6552</v>
      </c>
      <c r="F15" s="18"/>
      <c r="G15" s="18"/>
      <c r="H15" s="18"/>
      <c r="I15" s="18"/>
      <c r="J15" s="18"/>
      <c r="K15" s="18"/>
      <c r="L15" s="27" t="s">
        <v>22</v>
      </c>
      <c r="M15" s="21">
        <v>7.62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ht="22.5" customHeight="1">
      <c r="A16" s="24" t="s">
        <v>127</v>
      </c>
      <c r="B16" s="25" t="s">
        <v>32</v>
      </c>
      <c r="C16" s="21">
        <v>9.8</v>
      </c>
      <c r="D16" s="21">
        <v>7.4</v>
      </c>
      <c r="E16" s="22">
        <v>0.7609</v>
      </c>
      <c r="F16" s="18"/>
      <c r="G16" s="18"/>
      <c r="H16" s="18"/>
      <c r="I16" s="18"/>
      <c r="J16" s="18"/>
      <c r="K16" s="18"/>
      <c r="L16" s="27" t="s">
        <v>28</v>
      </c>
      <c r="M16" s="21">
        <v>7.57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ht="22.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7" t="s">
        <v>32</v>
      </c>
      <c r="M17" s="21">
        <v>7.37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ht="22.5" customHeight="1">
      <c r="A18" s="26" t="s">
        <v>639</v>
      </c>
      <c r="B18" s="26" t="s">
        <v>626</v>
      </c>
      <c r="C18" s="26" t="s">
        <v>640</v>
      </c>
      <c r="D18" s="26" t="s">
        <v>641</v>
      </c>
      <c r="E18" s="26" t="s">
        <v>643</v>
      </c>
      <c r="F18" s="18"/>
      <c r="G18" s="18"/>
      <c r="H18" s="18"/>
      <c r="I18" s="18"/>
      <c r="J18" s="18"/>
      <c r="K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ht="22.5" customHeight="1">
      <c r="A19" s="27" t="s">
        <v>27</v>
      </c>
      <c r="B19" s="25" t="s">
        <v>28</v>
      </c>
      <c r="C19" s="25">
        <v>5.0</v>
      </c>
      <c r="D19" s="21">
        <v>9.6</v>
      </c>
      <c r="E19" s="28">
        <v>0.65</v>
      </c>
      <c r="G19" s="18"/>
      <c r="H19" s="18"/>
      <c r="I19" s="18"/>
      <c r="J19" s="18"/>
      <c r="K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ht="22.5" customHeight="1">
      <c r="A20" s="27" t="s">
        <v>49</v>
      </c>
      <c r="B20" s="25" t="s">
        <v>32</v>
      </c>
      <c r="C20" s="25">
        <v>5.1</v>
      </c>
      <c r="D20" s="21">
        <v>7.3</v>
      </c>
      <c r="E20" s="28">
        <v>0.6897</v>
      </c>
      <c r="F20" s="18"/>
      <c r="G20" s="18"/>
      <c r="H20" s="18"/>
      <c r="I20" s="18"/>
      <c r="J20" s="18"/>
      <c r="K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ht="22.5" customHeight="1">
      <c r="A21" s="27" t="s">
        <v>179</v>
      </c>
      <c r="B21" s="25" t="s">
        <v>32</v>
      </c>
      <c r="C21" s="25">
        <v>5.1</v>
      </c>
      <c r="D21" s="21">
        <v>6.2</v>
      </c>
      <c r="E21" s="28">
        <v>0.8936</v>
      </c>
      <c r="F21" s="18"/>
      <c r="G21" s="18"/>
      <c r="H21" s="18"/>
      <c r="I21" s="18"/>
      <c r="J21" s="18"/>
      <c r="K21" s="18"/>
      <c r="L21" s="29"/>
      <c r="Q21" s="18"/>
      <c r="R21" s="18"/>
      <c r="S21" s="18"/>
      <c r="T21" s="18"/>
      <c r="U21" s="18"/>
      <c r="V21" s="18"/>
      <c r="W21" s="18"/>
      <c r="X21" s="18"/>
    </row>
    <row r="22" ht="22.5" customHeight="1">
      <c r="A22" s="27" t="s">
        <v>183</v>
      </c>
      <c r="B22" s="25" t="s">
        <v>22</v>
      </c>
      <c r="C22" s="25">
        <v>5.1</v>
      </c>
      <c r="D22" s="21">
        <v>9.6</v>
      </c>
      <c r="E22" s="28">
        <v>0.95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ht="22.5" customHeight="1">
      <c r="A23" s="27" t="s">
        <v>343</v>
      </c>
      <c r="B23" s="25" t="s">
        <v>32</v>
      </c>
      <c r="C23" s="25">
        <v>5.1</v>
      </c>
      <c r="D23" s="21">
        <v>8.3</v>
      </c>
      <c r="E23" s="28">
        <v>0.6739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ht="22.5" customHeight="1">
      <c r="A24" s="27" t="s">
        <v>591</v>
      </c>
      <c r="B24" s="25" t="s">
        <v>32</v>
      </c>
      <c r="C24" s="25">
        <v>5.1</v>
      </c>
      <c r="D24" s="21">
        <v>9.3</v>
      </c>
      <c r="E24" s="28">
        <v>0.6053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ht="22.5" customHeight="1">
      <c r="A25" s="27" t="s">
        <v>603</v>
      </c>
      <c r="B25" s="25" t="s">
        <v>28</v>
      </c>
      <c r="C25" s="25">
        <v>5.1</v>
      </c>
      <c r="D25" s="21">
        <v>6.6</v>
      </c>
      <c r="E25" s="28">
        <v>0.8571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ht="22.5" customHeight="1">
      <c r="A26" s="27" t="s">
        <v>71</v>
      </c>
      <c r="B26" s="25" t="s">
        <v>32</v>
      </c>
      <c r="C26" s="25">
        <v>5.2</v>
      </c>
      <c r="D26" s="21">
        <v>8.1</v>
      </c>
      <c r="E26" s="28">
        <v>0.78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ht="22.5" customHeight="1">
      <c r="A27" s="27" t="s">
        <v>181</v>
      </c>
      <c r="B27" s="25" t="s">
        <v>32</v>
      </c>
      <c r="C27" s="25">
        <v>5.2</v>
      </c>
      <c r="D27" s="21">
        <v>8.8</v>
      </c>
      <c r="E27" s="28">
        <v>0.8065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ht="22.5" customHeight="1">
      <c r="A28" s="27" t="s">
        <v>203</v>
      </c>
      <c r="B28" s="25" t="s">
        <v>28</v>
      </c>
      <c r="C28" s="25">
        <v>5.2</v>
      </c>
      <c r="D28" s="21">
        <v>8.7</v>
      </c>
      <c r="E28" s="28">
        <v>0.678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>
      <c r="C30" s="30"/>
      <c r="D30" s="30"/>
      <c r="E30" s="30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ht="22.5" customHeight="1">
      <c r="C31" s="31" t="s">
        <v>644</v>
      </c>
      <c r="D31" s="31" t="s">
        <v>645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22.5" customHeight="1">
      <c r="C32" s="32" t="s">
        <v>646</v>
      </c>
      <c r="D32" s="33">
        <f>CORREL(Sheet1!J2:J301, Sheet1!I2:I301)</f>
        <v>0.4553425737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ht="22.5" customHeight="1">
      <c r="C33" s="31" t="s">
        <v>647</v>
      </c>
      <c r="D33" s="33">
        <f>CORREL(Sheet1!J2:J301, Sheet1!O2:O301)</f>
        <v>0.7236811029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22.5" customHeight="1">
      <c r="A34" s="18"/>
      <c r="B34" s="18"/>
      <c r="C34" s="31" t="s">
        <v>648</v>
      </c>
      <c r="D34" s="33">
        <f>CORREL(Sheet1!J2:J301, Sheet1!N2:N301)</f>
        <v>-0.5330379596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>
      <c r="A36" s="18"/>
      <c r="B36" s="18"/>
      <c r="C36" s="34"/>
      <c r="D36" s="3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>
      <c r="A46" s="36" t="s">
        <v>651</v>
      </c>
      <c r="B46" s="36" t="s">
        <v>627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>
      <c r="A47" s="36" t="s">
        <v>652</v>
      </c>
      <c r="B47" s="37">
        <f>AVERAGEIFS(Sheet1!J:J, Sheet1!N:N, "&lt;=1")</f>
        <v>6.92481203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A48" s="36" t="s">
        <v>653</v>
      </c>
      <c r="B48" s="37">
        <f>AVERAGEIFS(Sheet1!J:J, Sheet1!N:N, "=2")</f>
        <v>5.6296875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A49" s="36" t="s">
        <v>654</v>
      </c>
      <c r="B49" s="37">
        <f>AVERAGEIFS(Sheet1!J:J, Sheet1!N:N, "&gt;=3")</f>
        <v>4.715533981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>
      <c r="A55" s="38" t="s">
        <v>655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>
      <c r="A56" s="39" t="str">
        <f>IFERROR(__xludf.DUMMYFUNCTION("FILTER(Sheet1!B:C, Sheet1!N:N &gt;= 3)"),"name")</f>
        <v>name</v>
      </c>
      <c r="B56" s="40" t="str">
        <f>IFERROR(__xludf.DUMMYFUNCTION("""COMPUTED_VALUE"""),"department")</f>
        <v>department</v>
      </c>
      <c r="C56" s="18"/>
      <c r="D56" s="36" t="s">
        <v>626</v>
      </c>
      <c r="E56" s="36" t="s">
        <v>656</v>
      </c>
      <c r="F56" s="36" t="s">
        <v>657</v>
      </c>
      <c r="G56" s="36" t="s">
        <v>642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>
      <c r="A57" s="18" t="str">
        <f>IFERROR(__xludf.DUMMYFUNCTION("""COMPUTED_VALUE"""),"Intern_3")</f>
        <v>Intern_3</v>
      </c>
      <c r="B57" s="18" t="str">
        <f>IFERROR(__xludf.DUMMYFUNCTION("""COMPUTED_VALUE"""),"Dev")</f>
        <v>Dev</v>
      </c>
      <c r="C57" s="18"/>
      <c r="D57" s="36" t="s">
        <v>22</v>
      </c>
      <c r="E57" s="37" t="str">
        <f>AVERAGEIF(Sheet1!$C:$C, A16, Sheet1!$T:$T)</f>
        <v>#DIV/0!</v>
      </c>
      <c r="F57" s="37" t="str">
        <f>AVERAGEIF(Sheet1!$C:$C, A16, Sheet1!$H:$H)</f>
        <v>#DIV/0!</v>
      </c>
      <c r="G57" s="37" t="str">
        <f>AVERAGEIF(Sheet1!$C:$C, A16, Sheet1!$S:$S)</f>
        <v>#DIV/0!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>
      <c r="A58" s="18" t="str">
        <f>IFERROR(__xludf.DUMMYFUNCTION("""COMPUTED_VALUE"""),"Intern_4")</f>
        <v>Intern_4</v>
      </c>
      <c r="B58" s="18" t="str">
        <f>IFERROR(__xludf.DUMMYFUNCTION("""COMPUTED_VALUE"""),"HR")</f>
        <v>HR</v>
      </c>
      <c r="C58" s="18"/>
      <c r="D58" s="36" t="s">
        <v>28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>
      <c r="A59" s="18" t="str">
        <f>IFERROR(__xludf.DUMMYFUNCTION("""COMPUTED_VALUE"""),"Intern_7")</f>
        <v>Intern_7</v>
      </c>
      <c r="B59" s="18" t="str">
        <f>IFERROR(__xludf.DUMMYFUNCTION("""COMPUTED_VALUE"""),"HR")</f>
        <v>HR</v>
      </c>
      <c r="C59" s="18"/>
      <c r="D59" s="36" t="s">
        <v>32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>
      <c r="A60" s="18" t="str">
        <f>IFERROR(__xludf.DUMMYFUNCTION("""COMPUTED_VALUE"""),"Intern_8")</f>
        <v>Intern_8</v>
      </c>
      <c r="B60" s="18" t="str">
        <f>IFERROR(__xludf.DUMMYFUNCTION("""COMPUTED_VALUE"""),"Data Science")</f>
        <v>Data Science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A61" s="18" t="str">
        <f>IFERROR(__xludf.DUMMYFUNCTION("""COMPUTED_VALUE"""),"Intern_12")</f>
        <v>Intern_12</v>
      </c>
      <c r="B61" s="18" t="str">
        <f>IFERROR(__xludf.DUMMYFUNCTION("""COMPUTED_VALUE"""),"HR")</f>
        <v>HR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>
      <c r="A62" s="18" t="str">
        <f>IFERROR(__xludf.DUMMYFUNCTION("""COMPUTED_VALUE"""),"Intern_15")</f>
        <v>Intern_15</v>
      </c>
      <c r="B62" s="18" t="str">
        <f>IFERROR(__xludf.DUMMYFUNCTION("""COMPUTED_VALUE"""),"Data Science")</f>
        <v>Data Science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>
      <c r="A63" s="18" t="str">
        <f>IFERROR(__xludf.DUMMYFUNCTION("""COMPUTED_VALUE"""),"Intern_16")</f>
        <v>Intern_16</v>
      </c>
      <c r="B63" s="18" t="str">
        <f>IFERROR(__xludf.DUMMYFUNCTION("""COMPUTED_VALUE"""),"HR")</f>
        <v>HR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A64" s="18" t="str">
        <f>IFERROR(__xludf.DUMMYFUNCTION("""COMPUTED_VALUE"""),"Intern_17")</f>
        <v>Intern_17</v>
      </c>
      <c r="B64" s="18" t="str">
        <f>IFERROR(__xludf.DUMMYFUNCTION("""COMPUTED_VALUE"""),"HR")</f>
        <v>HR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>
      <c r="A65" s="18" t="str">
        <f>IFERROR(__xludf.DUMMYFUNCTION("""COMPUTED_VALUE"""),"Intern_22")</f>
        <v>Intern_22</v>
      </c>
      <c r="B65" s="18" t="str">
        <f>IFERROR(__xludf.DUMMYFUNCTION("""COMPUTED_VALUE"""),"Dev")</f>
        <v>Dev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>
      <c r="A66" s="18" t="str">
        <f>IFERROR(__xludf.DUMMYFUNCTION("""COMPUTED_VALUE"""),"Intern_24")</f>
        <v>Intern_24</v>
      </c>
      <c r="B66" s="18" t="str">
        <f>IFERROR(__xludf.DUMMYFUNCTION("""COMPUTED_VALUE"""),"Dev")</f>
        <v>Dev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>
      <c r="A67" s="18" t="str">
        <f>IFERROR(__xludf.DUMMYFUNCTION("""COMPUTED_VALUE"""),"Intern_25")</f>
        <v>Intern_25</v>
      </c>
      <c r="B67" s="18" t="str">
        <f>IFERROR(__xludf.DUMMYFUNCTION("""COMPUTED_VALUE"""),"Dev")</f>
        <v>Dev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>
      <c r="A68" s="18" t="str">
        <f>IFERROR(__xludf.DUMMYFUNCTION("""COMPUTED_VALUE"""),"Intern_26")</f>
        <v>Intern_26</v>
      </c>
      <c r="B68" s="18" t="str">
        <f>IFERROR(__xludf.DUMMYFUNCTION("""COMPUTED_VALUE"""),"HR")</f>
        <v>HR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A69" s="18" t="str">
        <f>IFERROR(__xludf.DUMMYFUNCTION("""COMPUTED_VALUE"""),"Intern_27")</f>
        <v>Intern_27</v>
      </c>
      <c r="B69" s="18" t="str">
        <f>IFERROR(__xludf.DUMMYFUNCTION("""COMPUTED_VALUE"""),"HR")</f>
        <v>HR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>
      <c r="A70" s="18" t="str">
        <f>IFERROR(__xludf.DUMMYFUNCTION("""COMPUTED_VALUE"""),"Intern_28")</f>
        <v>Intern_28</v>
      </c>
      <c r="B70" s="18" t="str">
        <f>IFERROR(__xludf.DUMMYFUNCTION("""COMPUTED_VALUE"""),"HR")</f>
        <v>HR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>
      <c r="A71" s="18" t="str">
        <f>IFERROR(__xludf.DUMMYFUNCTION("""COMPUTED_VALUE"""),"Intern_30")</f>
        <v>Intern_30</v>
      </c>
      <c r="B71" s="18" t="str">
        <f>IFERROR(__xludf.DUMMYFUNCTION("""COMPUTED_VALUE"""),"HR")</f>
        <v>HR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>
      <c r="A72" s="18" t="str">
        <f>IFERROR(__xludf.DUMMYFUNCTION("""COMPUTED_VALUE"""),"Intern_37")</f>
        <v>Intern_37</v>
      </c>
      <c r="B72" s="18" t="str">
        <f>IFERROR(__xludf.DUMMYFUNCTION("""COMPUTED_VALUE"""),"Dev")</f>
        <v>Dev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>
      <c r="A73" s="18" t="str">
        <f>IFERROR(__xludf.DUMMYFUNCTION("""COMPUTED_VALUE"""),"Intern_39")</f>
        <v>Intern_39</v>
      </c>
      <c r="B73" s="18" t="str">
        <f>IFERROR(__xludf.DUMMYFUNCTION("""COMPUTED_VALUE"""),"HR")</f>
        <v>HR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>
      <c r="A74" s="18" t="str">
        <f>IFERROR(__xludf.DUMMYFUNCTION("""COMPUTED_VALUE"""),"Intern_40")</f>
        <v>Intern_40</v>
      </c>
      <c r="B74" s="18" t="str">
        <f>IFERROR(__xludf.DUMMYFUNCTION("""COMPUTED_VALUE"""),"HR")</f>
        <v>HR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>
      <c r="A75" s="18" t="str">
        <f>IFERROR(__xludf.DUMMYFUNCTION("""COMPUTED_VALUE"""),"Intern_41")</f>
        <v>Intern_41</v>
      </c>
      <c r="B75" s="18" t="str">
        <f>IFERROR(__xludf.DUMMYFUNCTION("""COMPUTED_VALUE"""),"Dev")</f>
        <v>Dev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>
      <c r="A76" s="18" t="str">
        <f>IFERROR(__xludf.DUMMYFUNCTION("""COMPUTED_VALUE"""),"Intern_49")</f>
        <v>Intern_49</v>
      </c>
      <c r="B76" s="18" t="str">
        <f>IFERROR(__xludf.DUMMYFUNCTION("""COMPUTED_VALUE"""),"Dev")</f>
        <v>Dev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A77" s="18" t="str">
        <f>IFERROR(__xludf.DUMMYFUNCTION("""COMPUTED_VALUE"""),"Intern_51")</f>
        <v>Intern_51</v>
      </c>
      <c r="B77" s="18" t="str">
        <f>IFERROR(__xludf.DUMMYFUNCTION("""COMPUTED_VALUE"""),"HR")</f>
        <v>HR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A78" s="18" t="str">
        <f>IFERROR(__xludf.DUMMYFUNCTION("""COMPUTED_VALUE"""),"Intern_53")</f>
        <v>Intern_53</v>
      </c>
      <c r="B78" s="18" t="str">
        <f>IFERROR(__xludf.DUMMYFUNCTION("""COMPUTED_VALUE"""),"HR")</f>
        <v>HR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>
      <c r="A79" s="18" t="str">
        <f>IFERROR(__xludf.DUMMYFUNCTION("""COMPUTED_VALUE"""),"Intern_56")</f>
        <v>Intern_56</v>
      </c>
      <c r="B79" s="18" t="str">
        <f>IFERROR(__xludf.DUMMYFUNCTION("""COMPUTED_VALUE"""),"Dev")</f>
        <v>Dev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>
      <c r="A80" s="18" t="str">
        <f>IFERROR(__xludf.DUMMYFUNCTION("""COMPUTED_VALUE"""),"Intern_61")</f>
        <v>Intern_61</v>
      </c>
      <c r="B80" s="18" t="str">
        <f>IFERROR(__xludf.DUMMYFUNCTION("""COMPUTED_VALUE"""),"HR")</f>
        <v>HR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>
      <c r="A81" s="18" t="str">
        <f>IFERROR(__xludf.DUMMYFUNCTION("""COMPUTED_VALUE"""),"Intern_62")</f>
        <v>Intern_62</v>
      </c>
      <c r="B81" s="18" t="str">
        <f>IFERROR(__xludf.DUMMYFUNCTION("""COMPUTED_VALUE"""),"Dev")</f>
        <v>Dev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>
      <c r="A82" s="18" t="str">
        <f>IFERROR(__xludf.DUMMYFUNCTION("""COMPUTED_VALUE"""),"Intern_70")</f>
        <v>Intern_70</v>
      </c>
      <c r="B82" s="18" t="str">
        <f>IFERROR(__xludf.DUMMYFUNCTION("""COMPUTED_VALUE"""),"Dev")</f>
        <v>Dev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>
      <c r="A83" s="18" t="str">
        <f>IFERROR(__xludf.DUMMYFUNCTION("""COMPUTED_VALUE"""),"Intern_76")</f>
        <v>Intern_76</v>
      </c>
      <c r="B83" s="18" t="str">
        <f>IFERROR(__xludf.DUMMYFUNCTION("""COMPUTED_VALUE"""),"Dev")</f>
        <v>Dev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>
      <c r="A84" s="18" t="str">
        <f>IFERROR(__xludf.DUMMYFUNCTION("""COMPUTED_VALUE"""),"Intern_77")</f>
        <v>Intern_77</v>
      </c>
      <c r="B84" s="18" t="str">
        <f>IFERROR(__xludf.DUMMYFUNCTION("""COMPUTED_VALUE"""),"HR")</f>
        <v>HR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>
      <c r="A85" s="18" t="str">
        <f>IFERROR(__xludf.DUMMYFUNCTION("""COMPUTED_VALUE"""),"Intern_84")</f>
        <v>Intern_84</v>
      </c>
      <c r="B85" s="18" t="str">
        <f>IFERROR(__xludf.DUMMYFUNCTION("""COMPUTED_VALUE"""),"HR")</f>
        <v>HR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>
      <c r="A86" s="18" t="str">
        <f>IFERROR(__xludf.DUMMYFUNCTION("""COMPUTED_VALUE"""),"Intern_85")</f>
        <v>Intern_85</v>
      </c>
      <c r="B86" s="18" t="str">
        <f>IFERROR(__xludf.DUMMYFUNCTION("""COMPUTED_VALUE"""),"HR")</f>
        <v>HR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>
      <c r="A87" s="18" t="str">
        <f>IFERROR(__xludf.DUMMYFUNCTION("""COMPUTED_VALUE"""),"Intern_95")</f>
        <v>Intern_95</v>
      </c>
      <c r="B87" s="18" t="str">
        <f>IFERROR(__xludf.DUMMYFUNCTION("""COMPUTED_VALUE"""),"HR")</f>
        <v>HR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A88" s="18" t="str">
        <f>IFERROR(__xludf.DUMMYFUNCTION("""COMPUTED_VALUE"""),"Intern_97")</f>
        <v>Intern_97</v>
      </c>
      <c r="B88" s="18" t="str">
        <f>IFERROR(__xludf.DUMMYFUNCTION("""COMPUTED_VALUE"""),"Dev")</f>
        <v>Dev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>
      <c r="A89" s="18" t="str">
        <f>IFERROR(__xludf.DUMMYFUNCTION("""COMPUTED_VALUE"""),"Intern_99")</f>
        <v>Intern_99</v>
      </c>
      <c r="B89" s="18" t="str">
        <f>IFERROR(__xludf.DUMMYFUNCTION("""COMPUTED_VALUE"""),"Dev")</f>
        <v>Dev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>
      <c r="A90" s="18" t="str">
        <f>IFERROR(__xludf.DUMMYFUNCTION("""COMPUTED_VALUE"""),"Intern_102")</f>
        <v>Intern_102</v>
      </c>
      <c r="B90" s="18" t="str">
        <f>IFERROR(__xludf.DUMMYFUNCTION("""COMPUTED_VALUE"""),"HR")</f>
        <v>HR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>
      <c r="A91" s="18" t="str">
        <f>IFERROR(__xludf.DUMMYFUNCTION("""COMPUTED_VALUE"""),"Intern_103")</f>
        <v>Intern_103</v>
      </c>
      <c r="B91" s="18" t="str">
        <f>IFERROR(__xludf.DUMMYFUNCTION("""COMPUTED_VALUE"""),"HR")</f>
        <v>HR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>
      <c r="A92" s="18" t="str">
        <f>IFERROR(__xludf.DUMMYFUNCTION("""COMPUTED_VALUE"""),"Intern_105")</f>
        <v>Intern_105</v>
      </c>
      <c r="B92" s="18" t="str">
        <f>IFERROR(__xludf.DUMMYFUNCTION("""COMPUTED_VALUE"""),"Dev")</f>
        <v>Dev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A93" s="18" t="str">
        <f>IFERROR(__xludf.DUMMYFUNCTION("""COMPUTED_VALUE"""),"Intern_107")</f>
        <v>Intern_107</v>
      </c>
      <c r="B93" s="18" t="str">
        <f>IFERROR(__xludf.DUMMYFUNCTION("""COMPUTED_VALUE"""),"HR")</f>
        <v>HR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>
      <c r="A94" s="18" t="str">
        <f>IFERROR(__xludf.DUMMYFUNCTION("""COMPUTED_VALUE"""),"Intern_110")</f>
        <v>Intern_110</v>
      </c>
      <c r="B94" s="18" t="str">
        <f>IFERROR(__xludf.DUMMYFUNCTION("""COMPUTED_VALUE"""),"HR")</f>
        <v>HR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>
      <c r="A95" s="18" t="str">
        <f>IFERROR(__xludf.DUMMYFUNCTION("""COMPUTED_VALUE"""),"Intern_114")</f>
        <v>Intern_114</v>
      </c>
      <c r="B95" s="18" t="str">
        <f>IFERROR(__xludf.DUMMYFUNCTION("""COMPUTED_VALUE"""),"Dev")</f>
        <v>Dev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>
      <c r="A96" s="18" t="str">
        <f>IFERROR(__xludf.DUMMYFUNCTION("""COMPUTED_VALUE"""),"Intern_115")</f>
        <v>Intern_115</v>
      </c>
      <c r="B96" s="18" t="str">
        <f>IFERROR(__xludf.DUMMYFUNCTION("""COMPUTED_VALUE"""),"HR")</f>
        <v>HR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>
      <c r="A97" s="18" t="str">
        <f>IFERROR(__xludf.DUMMYFUNCTION("""COMPUTED_VALUE"""),"Intern_117")</f>
        <v>Intern_117</v>
      </c>
      <c r="B97" s="18" t="str">
        <f>IFERROR(__xludf.DUMMYFUNCTION("""COMPUTED_VALUE"""),"HR")</f>
        <v>HR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>
      <c r="A98" s="18" t="str">
        <f>IFERROR(__xludf.DUMMYFUNCTION("""COMPUTED_VALUE"""),"Intern_121")</f>
        <v>Intern_121</v>
      </c>
      <c r="B98" s="18" t="str">
        <f>IFERROR(__xludf.DUMMYFUNCTION("""COMPUTED_VALUE"""),"Data Science")</f>
        <v>Data Science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>
      <c r="A99" s="18" t="str">
        <f>IFERROR(__xludf.DUMMYFUNCTION("""COMPUTED_VALUE"""),"Intern_124")</f>
        <v>Intern_124</v>
      </c>
      <c r="B99" s="18" t="str">
        <f>IFERROR(__xludf.DUMMYFUNCTION("""COMPUTED_VALUE"""),"HR")</f>
        <v>HR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>
      <c r="A100" s="18" t="str">
        <f>IFERROR(__xludf.DUMMYFUNCTION("""COMPUTED_VALUE"""),"Intern_125")</f>
        <v>Intern_125</v>
      </c>
      <c r="B100" s="18" t="str">
        <f>IFERROR(__xludf.DUMMYFUNCTION("""COMPUTED_VALUE"""),"Dev")</f>
        <v>Dev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A101" s="18" t="str">
        <f>IFERROR(__xludf.DUMMYFUNCTION("""COMPUTED_VALUE"""),"Intern_128")</f>
        <v>Intern_128</v>
      </c>
      <c r="B101" s="18" t="str">
        <f>IFERROR(__xludf.DUMMYFUNCTION("""COMPUTED_VALUE"""),"HR")</f>
        <v>HR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A102" s="18" t="str">
        <f>IFERROR(__xludf.DUMMYFUNCTION("""COMPUTED_VALUE"""),"Intern_130")</f>
        <v>Intern_130</v>
      </c>
      <c r="B102" s="18" t="str">
        <f>IFERROR(__xludf.DUMMYFUNCTION("""COMPUTED_VALUE"""),"Dev")</f>
        <v>Dev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>
      <c r="A103" s="18" t="str">
        <f>IFERROR(__xludf.DUMMYFUNCTION("""COMPUTED_VALUE"""),"Intern_135")</f>
        <v>Intern_135</v>
      </c>
      <c r="B103" s="18" t="str">
        <f>IFERROR(__xludf.DUMMYFUNCTION("""COMPUTED_VALUE"""),"HR")</f>
        <v>HR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>
      <c r="A104" s="18" t="str">
        <f>IFERROR(__xludf.DUMMYFUNCTION("""COMPUTED_VALUE"""),"Intern_136")</f>
        <v>Intern_136</v>
      </c>
      <c r="B104" s="18" t="str">
        <f>IFERROR(__xludf.DUMMYFUNCTION("""COMPUTED_VALUE"""),"HR")</f>
        <v>HR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>
      <c r="A105" s="18" t="str">
        <f>IFERROR(__xludf.DUMMYFUNCTION("""COMPUTED_VALUE"""),"Intern_138")</f>
        <v>Intern_138</v>
      </c>
      <c r="B105" s="18" t="str">
        <f>IFERROR(__xludf.DUMMYFUNCTION("""COMPUTED_VALUE"""),"HR")</f>
        <v>HR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>
      <c r="A106" s="18" t="str">
        <f>IFERROR(__xludf.DUMMYFUNCTION("""COMPUTED_VALUE"""),"Intern_145")</f>
        <v>Intern_145</v>
      </c>
      <c r="B106" s="18" t="str">
        <f>IFERROR(__xludf.DUMMYFUNCTION("""COMPUTED_VALUE"""),"Dev")</f>
        <v>Dev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>
      <c r="A107" s="18" t="str">
        <f>IFERROR(__xludf.DUMMYFUNCTION("""COMPUTED_VALUE"""),"Intern_146")</f>
        <v>Intern_146</v>
      </c>
      <c r="B107" s="18" t="str">
        <f>IFERROR(__xludf.DUMMYFUNCTION("""COMPUTED_VALUE"""),"HR")</f>
        <v>HR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>
      <c r="A108" s="18" t="str">
        <f>IFERROR(__xludf.DUMMYFUNCTION("""COMPUTED_VALUE"""),"Intern_147")</f>
        <v>Intern_147</v>
      </c>
      <c r="B108" s="18" t="str">
        <f>IFERROR(__xludf.DUMMYFUNCTION("""COMPUTED_VALUE"""),"HR")</f>
        <v>HR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>
      <c r="A109" s="18" t="str">
        <f>IFERROR(__xludf.DUMMYFUNCTION("""COMPUTED_VALUE"""),"Intern_148")</f>
        <v>Intern_148</v>
      </c>
      <c r="B109" s="18" t="str">
        <f>IFERROR(__xludf.DUMMYFUNCTION("""COMPUTED_VALUE"""),"Dev")</f>
        <v>Dev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>
      <c r="A110" s="18" t="str">
        <f>IFERROR(__xludf.DUMMYFUNCTION("""COMPUTED_VALUE"""),"Intern_149")</f>
        <v>Intern_149</v>
      </c>
      <c r="B110" s="18" t="str">
        <f>IFERROR(__xludf.DUMMYFUNCTION("""COMPUTED_VALUE"""),"HR")</f>
        <v>HR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>
      <c r="A111" s="18" t="str">
        <f>IFERROR(__xludf.DUMMYFUNCTION("""COMPUTED_VALUE"""),"Intern_151")</f>
        <v>Intern_151</v>
      </c>
      <c r="B111" s="18" t="str">
        <f>IFERROR(__xludf.DUMMYFUNCTION("""COMPUTED_VALUE"""),"HR")</f>
        <v>HR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>
      <c r="A112" s="18" t="str">
        <f>IFERROR(__xludf.DUMMYFUNCTION("""COMPUTED_VALUE"""),"Intern_152")</f>
        <v>Intern_152</v>
      </c>
      <c r="B112" s="18" t="str">
        <f>IFERROR(__xludf.DUMMYFUNCTION("""COMPUTED_VALUE"""),"Dev")</f>
        <v>Dev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>
      <c r="A113" s="18" t="str">
        <f>IFERROR(__xludf.DUMMYFUNCTION("""COMPUTED_VALUE"""),"Intern_153")</f>
        <v>Intern_153</v>
      </c>
      <c r="B113" s="18" t="str">
        <f>IFERROR(__xludf.DUMMYFUNCTION("""COMPUTED_VALUE"""),"HR")</f>
        <v>HR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>
      <c r="A114" s="18" t="str">
        <f>IFERROR(__xludf.DUMMYFUNCTION("""COMPUTED_VALUE"""),"Intern_154")</f>
        <v>Intern_154</v>
      </c>
      <c r="B114" s="18" t="str">
        <f>IFERROR(__xludf.DUMMYFUNCTION("""COMPUTED_VALUE"""),"Data Science")</f>
        <v>Data Science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>
      <c r="A115" s="18" t="str">
        <f>IFERROR(__xludf.DUMMYFUNCTION("""COMPUTED_VALUE"""),"Intern_156")</f>
        <v>Intern_156</v>
      </c>
      <c r="B115" s="18" t="str">
        <f>IFERROR(__xludf.DUMMYFUNCTION("""COMPUTED_VALUE"""),"HR")</f>
        <v>HR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>
      <c r="A116" s="18" t="str">
        <f>IFERROR(__xludf.DUMMYFUNCTION("""COMPUTED_VALUE"""),"Intern_159")</f>
        <v>Intern_159</v>
      </c>
      <c r="B116" s="18" t="str">
        <f>IFERROR(__xludf.DUMMYFUNCTION("""COMPUTED_VALUE"""),"HR")</f>
        <v>HR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>
      <c r="A117" s="18" t="str">
        <f>IFERROR(__xludf.DUMMYFUNCTION("""COMPUTED_VALUE"""),"Intern_163")</f>
        <v>Intern_163</v>
      </c>
      <c r="B117" s="18" t="str">
        <f>IFERROR(__xludf.DUMMYFUNCTION("""COMPUTED_VALUE"""),"HR")</f>
        <v>HR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>
      <c r="A118" s="18" t="str">
        <f>IFERROR(__xludf.DUMMYFUNCTION("""COMPUTED_VALUE"""),"Intern_167")</f>
        <v>Intern_167</v>
      </c>
      <c r="B118" s="18" t="str">
        <f>IFERROR(__xludf.DUMMYFUNCTION("""COMPUTED_VALUE"""),"Data Science")</f>
        <v>Data Science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>
      <c r="A119" s="18" t="str">
        <f>IFERROR(__xludf.DUMMYFUNCTION("""COMPUTED_VALUE"""),"Intern_171")</f>
        <v>Intern_171</v>
      </c>
      <c r="B119" s="18" t="str">
        <f>IFERROR(__xludf.DUMMYFUNCTION("""COMPUTED_VALUE"""),"Dev")</f>
        <v>Dev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>
      <c r="A120" s="18" t="str">
        <f>IFERROR(__xludf.DUMMYFUNCTION("""COMPUTED_VALUE"""),"Intern_174")</f>
        <v>Intern_174</v>
      </c>
      <c r="B120" s="18" t="str">
        <f>IFERROR(__xludf.DUMMYFUNCTION("""COMPUTED_VALUE"""),"HR")</f>
        <v>HR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>
      <c r="A121" s="18" t="str">
        <f>IFERROR(__xludf.DUMMYFUNCTION("""COMPUTED_VALUE"""),"Intern_177")</f>
        <v>Intern_177</v>
      </c>
      <c r="B121" s="18" t="str">
        <f>IFERROR(__xludf.DUMMYFUNCTION("""COMPUTED_VALUE"""),"Dev")</f>
        <v>Dev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>
      <c r="A122" s="18" t="str">
        <f>IFERROR(__xludf.DUMMYFUNCTION("""COMPUTED_VALUE"""),"Intern_185")</f>
        <v>Intern_185</v>
      </c>
      <c r="B122" s="18" t="str">
        <f>IFERROR(__xludf.DUMMYFUNCTION("""COMPUTED_VALUE"""),"Data Science")</f>
        <v>Data Science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>
      <c r="A123" s="18" t="str">
        <f>IFERROR(__xludf.DUMMYFUNCTION("""COMPUTED_VALUE"""),"Intern_192")</f>
        <v>Intern_192</v>
      </c>
      <c r="B123" s="18" t="str">
        <f>IFERROR(__xludf.DUMMYFUNCTION("""COMPUTED_VALUE"""),"HR")</f>
        <v>HR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>
      <c r="A124" s="18" t="str">
        <f>IFERROR(__xludf.DUMMYFUNCTION("""COMPUTED_VALUE"""),"Intern_193")</f>
        <v>Intern_193</v>
      </c>
      <c r="B124" s="18" t="str">
        <f>IFERROR(__xludf.DUMMYFUNCTION("""COMPUTED_VALUE"""),"HR")</f>
        <v>HR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>
      <c r="A125" s="18" t="str">
        <f>IFERROR(__xludf.DUMMYFUNCTION("""COMPUTED_VALUE"""),"Intern_194")</f>
        <v>Intern_194</v>
      </c>
      <c r="B125" s="18" t="str">
        <f>IFERROR(__xludf.DUMMYFUNCTION("""COMPUTED_VALUE"""),"HR")</f>
        <v>HR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>
      <c r="A126" s="18" t="str">
        <f>IFERROR(__xludf.DUMMYFUNCTION("""COMPUTED_VALUE"""),"Intern_202")</f>
        <v>Intern_202</v>
      </c>
      <c r="B126" s="18" t="str">
        <f>IFERROR(__xludf.DUMMYFUNCTION("""COMPUTED_VALUE"""),"HR")</f>
        <v>HR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>
      <c r="A127" s="18" t="str">
        <f>IFERROR(__xludf.DUMMYFUNCTION("""COMPUTED_VALUE"""),"Intern_211")</f>
        <v>Intern_211</v>
      </c>
      <c r="B127" s="18" t="str">
        <f>IFERROR(__xludf.DUMMYFUNCTION("""COMPUTED_VALUE"""),"Dev")</f>
        <v>Dev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>
      <c r="A128" s="18" t="str">
        <f>IFERROR(__xludf.DUMMYFUNCTION("""COMPUTED_VALUE"""),"Intern_213")</f>
        <v>Intern_213</v>
      </c>
      <c r="B128" s="18" t="str">
        <f>IFERROR(__xludf.DUMMYFUNCTION("""COMPUTED_VALUE"""),"Dev")</f>
        <v>Dev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>
      <c r="A129" s="18" t="str">
        <f>IFERROR(__xludf.DUMMYFUNCTION("""COMPUTED_VALUE"""),"Intern_216")</f>
        <v>Intern_216</v>
      </c>
      <c r="B129" s="18" t="str">
        <f>IFERROR(__xludf.DUMMYFUNCTION("""COMPUTED_VALUE"""),"HR")</f>
        <v>HR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>
      <c r="A130" s="18" t="str">
        <f>IFERROR(__xludf.DUMMYFUNCTION("""COMPUTED_VALUE"""),"Intern_217")</f>
        <v>Intern_217</v>
      </c>
      <c r="B130" s="18" t="str">
        <f>IFERROR(__xludf.DUMMYFUNCTION("""COMPUTED_VALUE"""),"HR")</f>
        <v>HR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>
      <c r="A131" s="18" t="str">
        <f>IFERROR(__xludf.DUMMYFUNCTION("""COMPUTED_VALUE"""),"Intern_220")</f>
        <v>Intern_220</v>
      </c>
      <c r="B131" s="18" t="str">
        <f>IFERROR(__xludf.DUMMYFUNCTION("""COMPUTED_VALUE"""),"HR")</f>
        <v>HR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>
      <c r="A132" s="18" t="str">
        <f>IFERROR(__xludf.DUMMYFUNCTION("""COMPUTED_VALUE"""),"Intern_223")</f>
        <v>Intern_223</v>
      </c>
      <c r="B132" s="18" t="str">
        <f>IFERROR(__xludf.DUMMYFUNCTION("""COMPUTED_VALUE"""),"Dev")</f>
        <v>Dev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>
      <c r="A133" s="18" t="str">
        <f>IFERROR(__xludf.DUMMYFUNCTION("""COMPUTED_VALUE"""),"Intern_226")</f>
        <v>Intern_226</v>
      </c>
      <c r="B133" s="18" t="str">
        <f>IFERROR(__xludf.DUMMYFUNCTION("""COMPUTED_VALUE"""),"Dev")</f>
        <v>Dev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>
      <c r="A134" s="18" t="str">
        <f>IFERROR(__xludf.DUMMYFUNCTION("""COMPUTED_VALUE"""),"Intern_228")</f>
        <v>Intern_228</v>
      </c>
      <c r="B134" s="18" t="str">
        <f>IFERROR(__xludf.DUMMYFUNCTION("""COMPUTED_VALUE"""),"HR")</f>
        <v>HR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>
      <c r="A135" s="18" t="str">
        <f>IFERROR(__xludf.DUMMYFUNCTION("""COMPUTED_VALUE"""),"Intern_229")</f>
        <v>Intern_229</v>
      </c>
      <c r="B135" s="18" t="str">
        <f>IFERROR(__xludf.DUMMYFUNCTION("""COMPUTED_VALUE"""),"Dev")</f>
        <v>Dev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>
      <c r="A136" s="18" t="str">
        <f>IFERROR(__xludf.DUMMYFUNCTION("""COMPUTED_VALUE"""),"Intern_230")</f>
        <v>Intern_230</v>
      </c>
      <c r="B136" s="18" t="str">
        <f>IFERROR(__xludf.DUMMYFUNCTION("""COMPUTED_VALUE"""),"HR")</f>
        <v>HR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>
      <c r="A137" s="18" t="str">
        <f>IFERROR(__xludf.DUMMYFUNCTION("""COMPUTED_VALUE"""),"Intern_231")</f>
        <v>Intern_231</v>
      </c>
      <c r="B137" s="18" t="str">
        <f>IFERROR(__xludf.DUMMYFUNCTION("""COMPUTED_VALUE"""),"HR")</f>
        <v>HR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>
      <c r="A138" s="18" t="str">
        <f>IFERROR(__xludf.DUMMYFUNCTION("""COMPUTED_VALUE"""),"Intern_236")</f>
        <v>Intern_236</v>
      </c>
      <c r="B138" s="18" t="str">
        <f>IFERROR(__xludf.DUMMYFUNCTION("""COMPUTED_VALUE"""),"HR")</f>
        <v>HR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>
      <c r="A139" s="18" t="str">
        <f>IFERROR(__xludf.DUMMYFUNCTION("""COMPUTED_VALUE"""),"Intern_242")</f>
        <v>Intern_242</v>
      </c>
      <c r="B139" s="18" t="str">
        <f>IFERROR(__xludf.DUMMYFUNCTION("""COMPUTED_VALUE"""),"HR")</f>
        <v>HR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>
      <c r="A140" s="18" t="str">
        <f>IFERROR(__xludf.DUMMYFUNCTION("""COMPUTED_VALUE"""),"Intern_246")</f>
        <v>Intern_246</v>
      </c>
      <c r="B140" s="18" t="str">
        <f>IFERROR(__xludf.DUMMYFUNCTION("""COMPUTED_VALUE"""),"HR")</f>
        <v>HR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>
      <c r="A141" s="18" t="str">
        <f>IFERROR(__xludf.DUMMYFUNCTION("""COMPUTED_VALUE"""),"Intern_252")</f>
        <v>Intern_252</v>
      </c>
      <c r="B141" s="18" t="str">
        <f>IFERROR(__xludf.DUMMYFUNCTION("""COMPUTED_VALUE"""),"HR")</f>
        <v>HR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>
      <c r="A142" s="18" t="str">
        <f>IFERROR(__xludf.DUMMYFUNCTION("""COMPUTED_VALUE"""),"Intern_253")</f>
        <v>Intern_253</v>
      </c>
      <c r="B142" s="18" t="str">
        <f>IFERROR(__xludf.DUMMYFUNCTION("""COMPUTED_VALUE"""),"HR")</f>
        <v>HR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>
      <c r="A143" s="18" t="str">
        <f>IFERROR(__xludf.DUMMYFUNCTION("""COMPUTED_VALUE"""),"Intern_254")</f>
        <v>Intern_254</v>
      </c>
      <c r="B143" s="18" t="str">
        <f>IFERROR(__xludf.DUMMYFUNCTION("""COMPUTED_VALUE"""),"HR")</f>
        <v>HR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>
      <c r="A144" s="18" t="str">
        <f>IFERROR(__xludf.DUMMYFUNCTION("""COMPUTED_VALUE"""),"Intern_256")</f>
        <v>Intern_256</v>
      </c>
      <c r="B144" s="18" t="str">
        <f>IFERROR(__xludf.DUMMYFUNCTION("""COMPUTED_VALUE"""),"HR")</f>
        <v>HR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>
      <c r="A145" s="18" t="str">
        <f>IFERROR(__xludf.DUMMYFUNCTION("""COMPUTED_VALUE"""),"Intern_259")</f>
        <v>Intern_259</v>
      </c>
      <c r="B145" s="18" t="str">
        <f>IFERROR(__xludf.DUMMYFUNCTION("""COMPUTED_VALUE"""),"Dev")</f>
        <v>Dev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>
      <c r="A146" s="18" t="str">
        <f>IFERROR(__xludf.DUMMYFUNCTION("""COMPUTED_VALUE"""),"Intern_262")</f>
        <v>Intern_262</v>
      </c>
      <c r="B146" s="18" t="str">
        <f>IFERROR(__xludf.DUMMYFUNCTION("""COMPUTED_VALUE"""),"Dev")</f>
        <v>Dev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>
      <c r="A147" s="18" t="str">
        <f>IFERROR(__xludf.DUMMYFUNCTION("""COMPUTED_VALUE"""),"Intern_263")</f>
        <v>Intern_263</v>
      </c>
      <c r="B147" s="18" t="str">
        <f>IFERROR(__xludf.DUMMYFUNCTION("""COMPUTED_VALUE"""),"Data Science")</f>
        <v>Data Science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>
      <c r="A148" s="18" t="str">
        <f>IFERROR(__xludf.DUMMYFUNCTION("""COMPUTED_VALUE"""),"Intern_267")</f>
        <v>Intern_267</v>
      </c>
      <c r="B148" s="18" t="str">
        <f>IFERROR(__xludf.DUMMYFUNCTION("""COMPUTED_VALUE"""),"HR")</f>
        <v>HR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>
      <c r="A149" s="18" t="str">
        <f>IFERROR(__xludf.DUMMYFUNCTION("""COMPUTED_VALUE"""),"Intern_271")</f>
        <v>Intern_271</v>
      </c>
      <c r="B149" s="18" t="str">
        <f>IFERROR(__xludf.DUMMYFUNCTION("""COMPUTED_VALUE"""),"Data Science")</f>
        <v>Data Science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>
      <c r="A150" s="18" t="str">
        <f>IFERROR(__xludf.DUMMYFUNCTION("""COMPUTED_VALUE"""),"Intern_272")</f>
        <v>Intern_272</v>
      </c>
      <c r="B150" s="18" t="str">
        <f>IFERROR(__xludf.DUMMYFUNCTION("""COMPUTED_VALUE"""),"Dev")</f>
        <v>Dev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>
      <c r="A151" s="18" t="str">
        <f>IFERROR(__xludf.DUMMYFUNCTION("""COMPUTED_VALUE"""),"Intern_276")</f>
        <v>Intern_276</v>
      </c>
      <c r="B151" s="18" t="str">
        <f>IFERROR(__xludf.DUMMYFUNCTION("""COMPUTED_VALUE"""),"Dev")</f>
        <v>Dev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>
      <c r="A152" s="18" t="str">
        <f>IFERROR(__xludf.DUMMYFUNCTION("""COMPUTED_VALUE"""),"Intern_282")</f>
        <v>Intern_282</v>
      </c>
      <c r="B152" s="18" t="str">
        <f>IFERROR(__xludf.DUMMYFUNCTION("""COMPUTED_VALUE"""),"Dev")</f>
        <v>Dev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>
      <c r="A153" s="18" t="str">
        <f>IFERROR(__xludf.DUMMYFUNCTION("""COMPUTED_VALUE"""),"Intern_288")</f>
        <v>Intern_288</v>
      </c>
      <c r="B153" s="18" t="str">
        <f>IFERROR(__xludf.DUMMYFUNCTION("""COMPUTED_VALUE"""),"HR")</f>
        <v>HR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>
      <c r="A154" s="18" t="str">
        <f>IFERROR(__xludf.DUMMYFUNCTION("""COMPUTED_VALUE"""),"Intern_289")</f>
        <v>Intern_289</v>
      </c>
      <c r="B154" s="18" t="str">
        <f>IFERROR(__xludf.DUMMYFUNCTION("""COMPUTED_VALUE"""),"Dev")</f>
        <v>Dev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>
      <c r="A155" s="18" t="str">
        <f>IFERROR(__xludf.DUMMYFUNCTION("""COMPUTED_VALUE"""),"Intern_290")</f>
        <v>Intern_290</v>
      </c>
      <c r="B155" s="18" t="str">
        <f>IFERROR(__xludf.DUMMYFUNCTION("""COMPUTED_VALUE"""),"Data Science")</f>
        <v>Data Science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>
      <c r="A156" s="18" t="str">
        <f>IFERROR(__xludf.DUMMYFUNCTION("""COMPUTED_VALUE"""),"Intern_291")</f>
        <v>Intern_291</v>
      </c>
      <c r="B156" s="18" t="str">
        <f>IFERROR(__xludf.DUMMYFUNCTION("""COMPUTED_VALUE"""),"Dev")</f>
        <v>Dev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>
      <c r="A157" s="18" t="str">
        <f>IFERROR(__xludf.DUMMYFUNCTION("""COMPUTED_VALUE"""),"Intern_293")</f>
        <v>Intern_293</v>
      </c>
      <c r="B157" s="18" t="str">
        <f>IFERROR(__xludf.DUMMYFUNCTION("""COMPUTED_VALUE"""),"Dev")</f>
        <v>Dev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>
      <c r="A158" s="18" t="str">
        <f>IFERROR(__xludf.DUMMYFUNCTION("""COMPUTED_VALUE"""),"Intern_295")</f>
        <v>Intern_295</v>
      </c>
      <c r="B158" s="18" t="str">
        <f>IFERROR(__xludf.DUMMYFUNCTION("""COMPUTED_VALUE"""),"Dev")</f>
        <v>Dev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>
      <c r="A159" s="18" t="str">
        <f>IFERROR(__xludf.DUMMYFUNCTION("""COMPUTED_VALUE"""),"Intern_297")</f>
        <v>Intern_297</v>
      </c>
      <c r="B159" s="18" t="str">
        <f>IFERROR(__xludf.DUMMYFUNCTION("""COMPUTED_VALUE"""),"Dev")</f>
        <v>Dev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</row>
  </sheetData>
  <mergeCells count="2">
    <mergeCell ref="L21:P21"/>
    <mergeCell ref="A55:B55"/>
  </mergeCells>
  <dataValidations>
    <dataValidation type="list" allowBlank="1" showErrorMessage="1" sqref="B7:B16">
      <formula1>"Data Science,Dev,Dev,Data Science,Data Science,HR,HR,HR,Dev,HR"</formula1>
    </dataValidation>
    <dataValidation type="list" allowBlank="1" sqref="B19:B28">
      <formula1>"Dev,HR,HR,Data Science,HR,HR,Dev,HR,HR,Dev"</formula1>
    </dataValidation>
    <dataValidation type="list" allowBlank="1" sqref="C19:C28">
      <formula1>"5,5.1,5.1,5.1,5.1,5.1,5.1,5.2,5.2,5.2"</formula1>
    </dataValidation>
    <dataValidation type="custom" allowBlank="1" showDropDown="1" sqref="M15:M17 D19:E28">
      <formula1>AND(ISNUMBER(D15),(NOT(OR(NOT(ISERROR(DATEVALUE(D15))), AND(ISNUMBER(D15), LEFT(CELL("format", D15))="D")))))</formula1>
    </dataValidation>
    <dataValidation type="custom" allowBlank="1" showDropDown="1" sqref="B2:E4 C7:E16">
      <formula1>AND(ISNUMBER(B2),(NOT(OR(NOT(ISERROR(DATEVALUE(B2))), AND(ISNUMBER(B2), LEFT(CELL("format", B2))="D")))))</formula1>
    </dataValidation>
  </dataValidations>
  <drawing r:id="rId3"/>
  <tableParts count="5"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26" t="s">
        <v>626</v>
      </c>
      <c r="B3" s="26" t="s">
        <v>627</v>
      </c>
    </row>
    <row r="4" ht="22.5" customHeight="1">
      <c r="A4" s="27" t="s">
        <v>22</v>
      </c>
      <c r="B4" s="21">
        <v>7.62</v>
      </c>
    </row>
    <row r="5" ht="22.5" customHeight="1">
      <c r="A5" s="27" t="s">
        <v>28</v>
      </c>
      <c r="B5" s="21">
        <v>7.57</v>
      </c>
    </row>
    <row r="6" ht="22.5" customHeight="1">
      <c r="A6" s="27" t="s">
        <v>32</v>
      </c>
      <c r="B6" s="21">
        <v>7.37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